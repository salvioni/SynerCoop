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eleste/Downloads/"/>
    </mc:Choice>
  </mc:AlternateContent>
  <xr:revisionPtr revIDLastSave="0" documentId="8_{10CDDB50-F67B-3249-AE6C-AEB8F4D5CF44}" xr6:coauthVersionLast="47" xr6:coauthVersionMax="47" xr10:uidLastSave="{00000000-0000-0000-0000-000000000000}"/>
  <bookViews>
    <workbookView xWindow="0" yWindow="600" windowWidth="24240" windowHeight="13020" tabRatio="896" activeTab="2" xr2:uid="{00000000-000D-0000-FFFF-FFFF00000000}"/>
  </bookViews>
  <sheets>
    <sheet name="BP" sheetId="6" r:id="rId1"/>
    <sheet name="DSP" sheetId="7" r:id="rId2"/>
    <sheet name="INDICADORES" sheetId="31" r:id="rId3"/>
    <sheet name="A.01" sheetId="8" r:id="rId4"/>
    <sheet name="A.02" sheetId="9" r:id="rId5"/>
    <sheet name="A.03" sheetId="12" r:id="rId6"/>
    <sheet name="A.04" sheetId="10" r:id="rId7"/>
    <sheet name="A.05" sheetId="13" r:id="rId8"/>
    <sheet name="A.06" sheetId="18" r:id="rId9"/>
    <sheet name="A.07" sheetId="19" r:id="rId10"/>
    <sheet name="P.01" sheetId="11" r:id="rId11"/>
    <sheet name="P.02" sheetId="14" r:id="rId12"/>
    <sheet name="P.03" sheetId="15" r:id="rId13"/>
    <sheet name="P.04" sheetId="16" r:id="rId14"/>
    <sheet name="P.05" sheetId="17" r:id="rId15"/>
    <sheet name="P.06" sheetId="20" r:id="rId16"/>
    <sheet name="C.01" sheetId="21" r:id="rId17"/>
    <sheet name="C.02" sheetId="22" r:id="rId18"/>
    <sheet name="C.03" sheetId="23" r:id="rId19"/>
    <sheet name="C.04" sheetId="24" r:id="rId20"/>
    <sheet name="C.05" sheetId="25" r:id="rId21"/>
    <sheet name="C.06" sheetId="26" r:id="rId22"/>
    <sheet name="C.07" sheetId="27" r:id="rId23"/>
    <sheet name="C.08" sheetId="28" r:id="rId24"/>
    <sheet name="C.09" sheetId="29" r:id="rId25"/>
    <sheet name="C.10" sheetId="30" r:id="rId26"/>
  </sheets>
  <definedNames>
    <definedName name="_xlnm.Print_Area" localSheetId="3">A.01!$C$4:$J$30</definedName>
    <definedName name="_xlnm.Print_Area" localSheetId="4">A.02!$C$4:$J$35</definedName>
    <definedName name="_xlnm.Print_Area" localSheetId="5">A.03!$C$4:$J$16</definedName>
    <definedName name="_xlnm.Print_Area" localSheetId="6">A.04!$C$4:$J$18</definedName>
    <definedName name="_xlnm.Print_Area" localSheetId="7">A.05!$C$4:$J$22</definedName>
    <definedName name="_xlnm.Print_Area" localSheetId="8">A.06!$C$4:$J$16</definedName>
    <definedName name="_xlnm.Print_Area" localSheetId="9">A.07!$C$4:$M$31</definedName>
    <definedName name="_xlnm.Print_Area" localSheetId="0">BP!$B$5:$L$30</definedName>
    <definedName name="_xlnm.Print_Area" localSheetId="16">'C.01'!$C$4:$J$15</definedName>
    <definedName name="_xlnm.Print_Area" localSheetId="18">'C.03'!$C$4:$L$15</definedName>
    <definedName name="_xlnm.Print_Area" localSheetId="19">'C.04'!$C$4:$J$20</definedName>
    <definedName name="_xlnm.Print_Area" localSheetId="20">'C.05'!$C$4:$J$21</definedName>
    <definedName name="_xlnm.Print_Area" localSheetId="21">'C.06'!$C$4:$J$21</definedName>
    <definedName name="_xlnm.Print_Area" localSheetId="22">'C.07'!$C$4:$J$15</definedName>
    <definedName name="_xlnm.Print_Area" localSheetId="23">'C.08'!$C$4:$J$20</definedName>
    <definedName name="_xlnm.Print_Area" localSheetId="24">'C.09'!$C$4:$J$23</definedName>
    <definedName name="_xlnm.Print_Area" localSheetId="25">'C.10'!$C$4:$J$14</definedName>
    <definedName name="_xlnm.Print_Area" localSheetId="2">INDICADORES!$B$2:$H$43</definedName>
    <definedName name="_xlnm.Print_Area" localSheetId="10">P.01!$C$4:$J$34</definedName>
    <definedName name="_xlnm.Print_Area" localSheetId="11">P.02!$C$4:$J$26</definedName>
    <definedName name="_xlnm.Print_Area" localSheetId="12">P.03!$C$4:$J$20</definedName>
    <definedName name="_xlnm.Print_Area" localSheetId="13">P.04!$C$4:$J$23</definedName>
    <definedName name="_xlnm.Print_Area" localSheetId="14">P.05!$C$4:$J$24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9" l="1"/>
  <c r="H24" i="19"/>
  <c r="H25" i="19"/>
  <c r="H26" i="19"/>
  <c r="H27" i="19"/>
  <c r="H28" i="19"/>
  <c r="H22" i="19"/>
  <c r="I10" i="23"/>
  <c r="I11" i="23"/>
  <c r="I12" i="23"/>
  <c r="I9" i="23"/>
  <c r="G7" i="30"/>
  <c r="G7" i="29"/>
  <c r="G7" i="28"/>
  <c r="G7" i="27"/>
  <c r="G7" i="26"/>
  <c r="G7" i="25"/>
  <c r="G7" i="24"/>
  <c r="I7" i="23"/>
  <c r="G7" i="22"/>
  <c r="G7" i="21"/>
  <c r="G7" i="20"/>
  <c r="G7" i="17"/>
  <c r="G7" i="16"/>
  <c r="G7" i="15"/>
  <c r="G7" i="14"/>
  <c r="G7" i="11"/>
  <c r="J7" i="19"/>
  <c r="G7" i="18"/>
  <c r="G7" i="13"/>
  <c r="G7" i="10"/>
  <c r="G7" i="12"/>
  <c r="G7" i="9"/>
  <c r="G7" i="8"/>
  <c r="D21" i="31"/>
  <c r="G21" i="31"/>
  <c r="G8" i="31"/>
  <c r="D8" i="31"/>
  <c r="E3" i="7"/>
  <c r="J6" i="6"/>
  <c r="E6" i="6"/>
  <c r="G22" i="16" l="1"/>
  <c r="G13" i="20" l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2" i="19"/>
  <c r="J22" i="19" s="1"/>
  <c r="G15" i="13"/>
  <c r="E18" i="6" s="1"/>
  <c r="G9" i="13"/>
  <c r="E13" i="6" s="1"/>
  <c r="G9" i="8"/>
  <c r="G34" i="9"/>
  <c r="G9" i="22"/>
  <c r="E7" i="7" s="1"/>
  <c r="J24" i="6"/>
  <c r="J23" i="6"/>
  <c r="G17" i="17"/>
  <c r="J20" i="6" s="1"/>
  <c r="G9" i="17"/>
  <c r="J13" i="6" s="1"/>
  <c r="G23" i="17" l="1"/>
  <c r="G21" i="13"/>
  <c r="I14" i="23"/>
  <c r="E12" i="7" s="1"/>
  <c r="J20" i="19"/>
  <c r="D30" i="31" l="1"/>
  <c r="G19" i="24" l="1"/>
  <c r="G20" i="26" l="1"/>
  <c r="E19" i="7" s="1"/>
  <c r="G13" i="22" l="1"/>
  <c r="G13" i="30"/>
  <c r="E31" i="7" s="1"/>
  <c r="G22" i="29"/>
  <c r="E28" i="7" s="1"/>
  <c r="G14" i="29"/>
  <c r="E27" i="7" s="1"/>
  <c r="G19" i="28"/>
  <c r="E22" i="7" s="1"/>
  <c r="G13" i="28"/>
  <c r="E21" i="7" s="1"/>
  <c r="G14" i="27"/>
  <c r="E20" i="7" s="1"/>
  <c r="G20" i="25"/>
  <c r="E18" i="7" s="1"/>
  <c r="E17" i="7"/>
  <c r="G9" i="21"/>
  <c r="E5" i="7" s="1"/>
  <c r="F31" i="7" l="1"/>
  <c r="E8" i="7"/>
  <c r="E10" i="7" s="1"/>
  <c r="G20" i="22"/>
  <c r="F5" i="7"/>
  <c r="F19" i="7"/>
  <c r="F27" i="7"/>
  <c r="F17" i="7"/>
  <c r="F7" i="7"/>
  <c r="F20" i="7"/>
  <c r="F28" i="7"/>
  <c r="F21" i="7"/>
  <c r="F12" i="7"/>
  <c r="F22" i="7"/>
  <c r="F18" i="7"/>
  <c r="G18" i="15"/>
  <c r="J11" i="6" s="1"/>
  <c r="J19" i="6"/>
  <c r="G19" i="16"/>
  <c r="G33" i="11"/>
  <c r="F8" i="7" l="1"/>
  <c r="G21" i="16"/>
  <c r="J12" i="6" s="1"/>
  <c r="J17" i="6"/>
  <c r="F10" i="7"/>
  <c r="J9" i="19"/>
  <c r="J30" i="19" s="1"/>
  <c r="E21" i="6" s="1"/>
  <c r="G15" i="18"/>
  <c r="E20" i="6" s="1"/>
  <c r="E17" i="6"/>
  <c r="I20" i="19" l="1"/>
  <c r="E16" i="6"/>
  <c r="E19" i="6" l="1"/>
  <c r="G28" i="31" s="1"/>
  <c r="E26" i="7"/>
  <c r="F26" i="7" l="1"/>
  <c r="E15" i="6"/>
  <c r="G17" i="14"/>
  <c r="J18" i="6" s="1"/>
  <c r="G9" i="14"/>
  <c r="G15" i="12"/>
  <c r="E11" i="6" s="1"/>
  <c r="J10" i="6" l="1"/>
  <c r="G25" i="14"/>
  <c r="G19" i="11"/>
  <c r="G9" i="11"/>
  <c r="G17" i="10"/>
  <c r="E12" i="6" l="1"/>
  <c r="G22" i="31" s="1"/>
  <c r="G29" i="11"/>
  <c r="G32" i="11" s="1"/>
  <c r="J9" i="6" s="1"/>
  <c r="G19" i="9"/>
  <c r="G9" i="9"/>
  <c r="G21" i="8"/>
  <c r="G13" i="8"/>
  <c r="E14" i="7"/>
  <c r="F14" i="7" s="1"/>
  <c r="E16" i="7"/>
  <c r="F16" i="7" s="1"/>
  <c r="G29" i="8" l="1"/>
  <c r="J16" i="6"/>
  <c r="J15" i="6" s="1"/>
  <c r="G29" i="9"/>
  <c r="J8" i="6"/>
  <c r="G24" i="31" s="1"/>
  <c r="E24" i="7"/>
  <c r="D16" i="31" l="1"/>
  <c r="F31" i="9"/>
  <c r="E9" i="6"/>
  <c r="D38" i="31" s="1"/>
  <c r="D39" i="31" s="1"/>
  <c r="G33" i="9"/>
  <c r="G15" i="31"/>
  <c r="D15" i="31"/>
  <c r="E30" i="7"/>
  <c r="F24" i="7"/>
  <c r="E10" i="6" l="1"/>
  <c r="G9" i="31"/>
  <c r="F30" i="7"/>
  <c r="E33" i="7"/>
  <c r="J25" i="6" s="1"/>
  <c r="G23" i="31" l="1"/>
  <c r="G25" i="31" s="1"/>
  <c r="G26" i="31" s="1"/>
  <c r="E8" i="6"/>
  <c r="E28" i="6" s="1"/>
  <c r="F33" i="7"/>
  <c r="D23" i="31"/>
  <c r="D22" i="31"/>
  <c r="D33" i="31" l="1"/>
  <c r="F21" i="6"/>
  <c r="G12" i="31"/>
  <c r="F15" i="6"/>
  <c r="F12" i="6"/>
  <c r="G11" i="31"/>
  <c r="F17" i="6"/>
  <c r="D9" i="31"/>
  <c r="F8" i="6"/>
  <c r="G10" i="31"/>
  <c r="D31" i="31"/>
  <c r="F18" i="6"/>
  <c r="G27" i="31"/>
  <c r="F28" i="6"/>
  <c r="D25" i="31"/>
  <c r="G13" i="31"/>
  <c r="F19" i="6"/>
  <c r="F11" i="6"/>
  <c r="F10" i="6"/>
  <c r="D35" i="31"/>
  <c r="D36" i="31" s="1"/>
  <c r="G14" i="31"/>
  <c r="F16" i="6"/>
  <c r="F9" i="6"/>
  <c r="D32" i="31"/>
  <c r="J26" i="6"/>
  <c r="J22" i="6" s="1"/>
  <c r="D24" i="31" s="1"/>
  <c r="D40" i="31"/>
  <c r="D12" i="31"/>
  <c r="F20" i="6"/>
  <c r="F13" i="6"/>
  <c r="D11" i="31"/>
  <c r="D10" i="31"/>
  <c r="D37" i="31" l="1"/>
  <c r="D42" i="31"/>
  <c r="D14" i="31"/>
  <c r="D13" i="31"/>
  <c r="D41" i="31"/>
  <c r="J28" i="6"/>
  <c r="D34" i="31"/>
  <c r="K9" i="6" l="1"/>
  <c r="K26" i="6"/>
  <c r="K13" i="6"/>
  <c r="K23" i="6"/>
  <c r="K28" i="6"/>
  <c r="K16" i="6"/>
  <c r="K17" i="6"/>
  <c r="K24" i="6"/>
  <c r="K8" i="6"/>
  <c r="K19" i="6"/>
  <c r="K12" i="6"/>
  <c r="K25" i="6"/>
  <c r="K20" i="6"/>
  <c r="K10" i="6"/>
  <c r="K11" i="6"/>
  <c r="K22" i="6"/>
  <c r="K18" i="6"/>
  <c r="K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G22" authorId="0" shapeId="0" xr:uid="{550FCA67-550A-4645-BCED-278B0A339309}">
      <text>
        <r>
          <rPr>
            <b/>
            <sz val="9"/>
            <color indexed="81"/>
            <rFont val="Segoe UI"/>
            <family val="2"/>
          </rPr>
          <t>Depreciação Fiscal: 25 anos</t>
        </r>
      </text>
    </comment>
    <comment ref="G23" authorId="0" shapeId="0" xr:uid="{A652FDF6-9E89-4C7F-B4D4-46DF679CF39C}">
      <text>
        <r>
          <rPr>
            <b/>
            <sz val="9"/>
            <color indexed="81"/>
            <rFont val="Segoe UI"/>
            <family val="2"/>
          </rPr>
          <t>Depreciacao Fiscal: 10 anos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4" authorId="0" shapeId="0" xr:uid="{0A22FE44-7C21-4E44-9057-FAC4DDCCA6C0}">
      <text>
        <r>
          <rPr>
            <b/>
            <sz val="9"/>
            <color indexed="81"/>
            <rFont val="Segoe UI"/>
            <family val="2"/>
          </rPr>
          <t>Depreciação Fiscal: 10 anos</t>
        </r>
      </text>
    </comment>
    <comment ref="G25" authorId="0" shapeId="0" xr:uid="{0B526624-1A0C-401C-AB2A-038EB063559F}">
      <text>
        <r>
          <rPr>
            <b/>
            <sz val="9"/>
            <color indexed="81"/>
            <rFont val="Segoe UI"/>
            <family val="2"/>
          </rPr>
          <t>Depreciação Fiscal: 5 anos</t>
        </r>
      </text>
    </comment>
    <comment ref="G26" authorId="0" shapeId="0" xr:uid="{11C4419D-C842-40F7-B689-2B6443F1F123}">
      <text>
        <r>
          <rPr>
            <b/>
            <sz val="9"/>
            <color indexed="81"/>
            <rFont val="Segoe UI"/>
            <family val="2"/>
          </rPr>
          <t>Depreciação Fiscal: 5 anos</t>
        </r>
      </text>
    </comment>
    <comment ref="G27" authorId="0" shapeId="0" xr:uid="{A47260CC-C6B5-4AFE-BE8C-406DD6CE1A0F}">
      <text>
        <r>
          <rPr>
            <b/>
            <sz val="9"/>
            <color indexed="81"/>
            <rFont val="Segoe UI"/>
            <family val="2"/>
          </rPr>
          <t>Depreciação Fiscal: 10 anos</t>
        </r>
      </text>
    </comment>
    <comment ref="G28" authorId="0" shapeId="0" xr:uid="{606D95A0-6DEF-439B-91B6-F76B4C2A1FF8}">
      <text>
        <r>
          <rPr>
            <b/>
            <sz val="9"/>
            <color indexed="81"/>
            <rFont val="Segoe UI"/>
            <family val="2"/>
          </rPr>
          <t>Depreciação Fiscal: 10 anos</t>
        </r>
      </text>
    </comment>
  </commentList>
</comments>
</file>

<file path=xl/sharedStrings.xml><?xml version="1.0" encoding="utf-8"?>
<sst xmlns="http://schemas.openxmlformats.org/spreadsheetml/2006/main" count="512" uniqueCount="336">
  <si>
    <t>Informar o ANO de PREENCHIMENTO</t>
  </si>
  <si>
    <t>ATIVO</t>
  </si>
  <si>
    <t>Link</t>
  </si>
  <si>
    <t>AV%</t>
  </si>
  <si>
    <t>PASSIVO</t>
  </si>
  <si>
    <t>CIRCULANTE</t>
  </si>
  <si>
    <t>Caixa e Equivalentes de Caixa</t>
  </si>
  <si>
    <t>A.01</t>
  </si>
  <si>
    <t>Contas a Pagar</t>
  </si>
  <si>
    <t>P.01</t>
  </si>
  <si>
    <t>Contas a Receber</t>
  </si>
  <si>
    <t>A.02</t>
  </si>
  <si>
    <t>Empréstimos e Financiamentos</t>
  </si>
  <si>
    <t>P.02</t>
  </si>
  <si>
    <t>Adiantamentos</t>
  </si>
  <si>
    <t>A.03</t>
  </si>
  <si>
    <t>Obrigações Trabalhistas</t>
  </si>
  <si>
    <t>P.03</t>
  </si>
  <si>
    <t>Estoques</t>
  </si>
  <si>
    <t>A.04</t>
  </si>
  <si>
    <t>Obrigações Tributárias</t>
  </si>
  <si>
    <t>P.04</t>
  </si>
  <si>
    <t>Outros Créditos de Curto Prazo</t>
  </si>
  <si>
    <t>A.05</t>
  </si>
  <si>
    <t>Outros Débitos de Curto Prazo</t>
  </si>
  <si>
    <t>P.05</t>
  </si>
  <si>
    <t>NÃO CIRCULANTE</t>
  </si>
  <si>
    <t>Realizável a Longo Prazo</t>
  </si>
  <si>
    <t>Exigível a Longo Prazo</t>
  </si>
  <si>
    <t>Outros Créditos de Longo Prazo</t>
  </si>
  <si>
    <t>Emprestimos e Financiamentos</t>
  </si>
  <si>
    <t>Ativo Permanente</t>
  </si>
  <si>
    <t>Investimentos</t>
  </si>
  <si>
    <t>A.06</t>
  </si>
  <si>
    <t>Outros Débitos de Longo Prazo</t>
  </si>
  <si>
    <t>Imobilizado</t>
  </si>
  <si>
    <t>A.07</t>
  </si>
  <si>
    <t>PATRIMÔNIO LÍQUIDO</t>
  </si>
  <si>
    <t>Capital Social</t>
  </si>
  <si>
    <t>P.06</t>
  </si>
  <si>
    <t>(-) Capital social a Integralizar</t>
  </si>
  <si>
    <t>Sobras/Perdas do Exercício</t>
  </si>
  <si>
    <t>DSP</t>
  </si>
  <si>
    <t>Sobras/Perdas Acumuladas</t>
  </si>
  <si>
    <t>TOTAL DO ATIVO</t>
  </si>
  <si>
    <t>TOTAL DO PASSIVO + PL</t>
  </si>
  <si>
    <t>DEMONSTRATIVO DE SOBRAS E PERDAS</t>
  </si>
  <si>
    <t>INGRESSOS/RECEITA DE VENDAS</t>
  </si>
  <si>
    <t>C.01</t>
  </si>
  <si>
    <t>(-)  Devoluções de Vendas</t>
  </si>
  <si>
    <t>C.02</t>
  </si>
  <si>
    <t>(-)  Impostos sobre Vendas</t>
  </si>
  <si>
    <t>INGRESSOS/RECEITA LÍQUIDA</t>
  </si>
  <si>
    <t>(-)  DISPÊNDIO/CUSTOS DE VENDAS</t>
  </si>
  <si>
    <t>C.03</t>
  </si>
  <si>
    <t>RESULTADO BRUTO</t>
  </si>
  <si>
    <t>(-) DISPÊNDIOS e DESPESAS OPERACIONAIS</t>
  </si>
  <si>
    <t>(-)  Despesas Comerciais</t>
  </si>
  <si>
    <t>C.04</t>
  </si>
  <si>
    <t>(-)  Despesas com Pessoal</t>
  </si>
  <si>
    <t>C.05</t>
  </si>
  <si>
    <t>(-)  Despesas Administrativas</t>
  </si>
  <si>
    <t>C.06</t>
  </si>
  <si>
    <t>(-)  Despesas Tributárias</t>
  </si>
  <si>
    <t>C.07</t>
  </si>
  <si>
    <t>(+) Outros Ingressos/Receitas Operacionais</t>
  </si>
  <si>
    <t>C.08</t>
  </si>
  <si>
    <t>(-) Outros Dispêndios/Despesas Operacionais</t>
  </si>
  <si>
    <t>EBITDA</t>
  </si>
  <si>
    <t>(-)  Depreciação</t>
  </si>
  <si>
    <t>(+)  Ingressos/Receitas Financeiras</t>
  </si>
  <si>
    <t>C.09</t>
  </si>
  <si>
    <t>(-)  Dispêndios/Despesas Financeiras</t>
  </si>
  <si>
    <t>RESULTADO ANTES IR/CSLL</t>
  </si>
  <si>
    <t>(-)  Provisão p/ IRPJ/CSLL</t>
  </si>
  <si>
    <t>C.10</t>
  </si>
  <si>
    <t>SOBRA/PERDAS DO EXERCÍCIO</t>
  </si>
  <si>
    <t>INDICADORES FINANCEIROS</t>
  </si>
  <si>
    <t>EFICIÊNCIA ECONÔMICA E FINANCEIRA</t>
  </si>
  <si>
    <t>ENDIVIDAMENTO</t>
  </si>
  <si>
    <t>Liquidez Geral (Total)</t>
  </si>
  <si>
    <t>Nível de Alavancagem (EBITDA)</t>
  </si>
  <si>
    <t>Liquidez Corrente</t>
  </si>
  <si>
    <t>Endividamento Operacional (%)</t>
  </si>
  <si>
    <t>Liquidez Seca</t>
  </si>
  <si>
    <t>Endividamento Financeiro Total (%)</t>
  </si>
  <si>
    <t>Garantia ao Capital de Terceiros</t>
  </si>
  <si>
    <t>Endividamento Financeiro LP (%)</t>
  </si>
  <si>
    <t>Imobilização dos Recursos Próprios</t>
  </si>
  <si>
    <t>Endividamento de Longo Prazo (%)</t>
  </si>
  <si>
    <t>Imobilização dos Recursos Próprios (%)</t>
  </si>
  <si>
    <t>Endividamento Total (%)</t>
  </si>
  <si>
    <t>Perfil do Endividamento (%)</t>
  </si>
  <si>
    <t>Inadimplência Total sobre Créditos (%)</t>
  </si>
  <si>
    <t>RENTABILIDADE</t>
  </si>
  <si>
    <t>CAPACIDADE OPERACIONAL</t>
  </si>
  <si>
    <t>Rentabilidade do Capital Integralizado (%)</t>
  </si>
  <si>
    <t>Prazo Médio de Estoque - PME</t>
  </si>
  <si>
    <t>Rentabilidade dos Ingressos (%)</t>
  </si>
  <si>
    <t>Prazo Médio de Recebimento - PMR</t>
  </si>
  <si>
    <t>Rentabilidade do Patrimônio Líquido (%)</t>
  </si>
  <si>
    <t>Prazo Médio de Pagamento - PMP</t>
  </si>
  <si>
    <t>Rentabilidade dos Ativos (%)</t>
  </si>
  <si>
    <t>Ciclo Operacional</t>
  </si>
  <si>
    <t>Ciclo Financeiro</t>
  </si>
  <si>
    <t>Giro do Ativo</t>
  </si>
  <si>
    <t>TESOURARIA</t>
  </si>
  <si>
    <t>Giro do Permanente</t>
  </si>
  <si>
    <t>Capital de Giro (R$)</t>
  </si>
  <si>
    <t>Capital de Giro - Faturamento (%)</t>
  </si>
  <si>
    <t>Capital de Giro (%)</t>
  </si>
  <si>
    <t>Capital de Giro Próprio (%)</t>
  </si>
  <si>
    <t>Necessidade de Capital de Giro (R$)</t>
  </si>
  <si>
    <t>Necessidade de Capital de Giro - Faturamento (%)</t>
  </si>
  <si>
    <t>Necessidade de Capital de Giro (%)</t>
  </si>
  <si>
    <t>Tesouraria (R$)</t>
  </si>
  <si>
    <t>Tesouraria - Faturamento (%)</t>
  </si>
  <si>
    <t>Tesouraria (%)</t>
  </si>
  <si>
    <t>Independência Financeira</t>
  </si>
  <si>
    <t>Índice de Auto-Financiamento</t>
  </si>
  <si>
    <t>&lt;&lt; Voltar</t>
  </si>
  <si>
    <t>Caixa e Equivalente Caixa</t>
  </si>
  <si>
    <t>(Valores em R$, saldo no último dia do ano)</t>
  </si>
  <si>
    <t>Pergunta</t>
  </si>
  <si>
    <t>Saldo em Caixa</t>
  </si>
  <si>
    <t>Qual o valor que a Cooperativa possuía em espécie no caixa?</t>
  </si>
  <si>
    <t>Caixa Geral</t>
  </si>
  <si>
    <t>Saldo em Conta Corrente</t>
  </si>
  <si>
    <t xml:space="preserve">Qual o saldo em contas correntes bancárias da Cooperativa, desconsiderando-se as aplicações? </t>
  </si>
  <si>
    <t>Banco A</t>
  </si>
  <si>
    <t>Banco B</t>
  </si>
  <si>
    <t>Banco C</t>
  </si>
  <si>
    <t>Banco D</t>
  </si>
  <si>
    <t>Demais Bancos</t>
  </si>
  <si>
    <t>Saldo em Aplicações Financeiras</t>
  </si>
  <si>
    <t>Qual o saldo em aplicações financeiras da Cooperativa?</t>
  </si>
  <si>
    <t>Cooperados</t>
  </si>
  <si>
    <t>Qual o valor de títulos (duplicatas, boletos, cheques) a receber da Cooperativa, com atos cooperados, vencidos ou a vencer?</t>
  </si>
  <si>
    <t>Títulos e Duplicatas a Vencer em até 12 meses</t>
  </si>
  <si>
    <t>Títulos e Duplicatas a Vencer após 12 meses</t>
  </si>
  <si>
    <t>Títulos e Duplicatas Vencidos até 30 dias</t>
  </si>
  <si>
    <t>Títulos e Duplicatas Vencidos de 31 até 60 dias</t>
  </si>
  <si>
    <t>Títulos e Duplicatas Vencidos de 61 até 90 dias</t>
  </si>
  <si>
    <t>Títulos e Duplicatas Vencidos de 91 até 180 dias</t>
  </si>
  <si>
    <t>Títulos e Duplicatas Vencidos há mais de 180 dias</t>
  </si>
  <si>
    <t>Não Cooperados</t>
  </si>
  <si>
    <t>Qual o valor de títulos (duplicatas, boletos, cheques) a receber da Cooperativa, com atos não cooperados, vencidos ou a vencer?</t>
  </si>
  <si>
    <t>Total Cooperados e Não Cooperados</t>
  </si>
  <si>
    <t>Qual o valor das perda estimada de curto e longo prazo da cooperativa?</t>
  </si>
  <si>
    <t>Perdas estimadas do contas a receber</t>
  </si>
  <si>
    <t>Contas a Receber no Curto Prazo</t>
  </si>
  <si>
    <t>Contas a Receber no Longo Prazo</t>
  </si>
  <si>
    <t>Adiantamentos a Funcionários</t>
  </si>
  <si>
    <t>A Cooperativa fez algum pagamento antecipado para funcionários, fornecedores, compras diversas até a data, mas que o serviço não tenha sido prestado, ou o produto não tenha sido entregue?</t>
  </si>
  <si>
    <t>Adiantamentos a Fornecedores - Cooperados</t>
  </si>
  <si>
    <t>Adiantamentos a Fornecedores - Não Cooperados</t>
  </si>
  <si>
    <t>Adiantamentos a Dirigentes</t>
  </si>
  <si>
    <t>Adiantamentos Diversos</t>
  </si>
  <si>
    <t>Total Adiantamentos</t>
  </si>
  <si>
    <t>Matérias-Primas</t>
  </si>
  <si>
    <t xml:space="preserve">Qual o valor do estoque da Cooperativa, para cada um dos grupos listados?
</t>
  </si>
  <si>
    <t>Produtos em Elaboração</t>
  </si>
  <si>
    <t>Produtos Acabados</t>
  </si>
  <si>
    <t>Marcadorias para Revenda</t>
  </si>
  <si>
    <t>Materiais Diversos</t>
  </si>
  <si>
    <t>Estoque da Cooperativa em Poder de Terceiros</t>
  </si>
  <si>
    <t>Estoque de Terceiros em Poder da Cooperativa</t>
  </si>
  <si>
    <t>Total Estoque</t>
  </si>
  <si>
    <t>Outros Créditos</t>
  </si>
  <si>
    <t>Curto Prazo</t>
  </si>
  <si>
    <t>Impostos a Recuperar</t>
  </si>
  <si>
    <t>A Cooperativa possui outros valores a receber, ou direitos contra terceiros com previsão de recebimento para os próximos 12 meses?</t>
  </si>
  <si>
    <t>Depósitos Judiciais</t>
  </si>
  <si>
    <t>Demais Créditos</t>
  </si>
  <si>
    <t xml:space="preserve"> Longo Prazo</t>
  </si>
  <si>
    <t>A Cooperativa possui outros valores a receber, ou direitos contra terceiros com previsão de recebimento após os próximos 12 meses?</t>
  </si>
  <si>
    <t>Total Outros Créditos</t>
  </si>
  <si>
    <t>Participações Societárias em Outras Empresas</t>
  </si>
  <si>
    <t>Qual o valor para os investimentos realizados pela Cooperativa?</t>
  </si>
  <si>
    <t>Imóveis para Renda [ Aluguel ]</t>
  </si>
  <si>
    <t>Imóveis para Investimento</t>
  </si>
  <si>
    <t>Quadros e Obras de Arte</t>
  </si>
  <si>
    <t>Demais Investimentos</t>
  </si>
  <si>
    <t>Total Investimentos</t>
  </si>
  <si>
    <t>Imobilizado Líquido</t>
  </si>
  <si>
    <t>Imobilizado Bruto</t>
  </si>
  <si>
    <t>Imóveis e Instalações</t>
  </si>
  <si>
    <t>Qual o valor para os Ativos Imobilizados listados, considerando o valor pago na data de aquisição?</t>
  </si>
  <si>
    <t>Máquinas e Equipamentos</t>
  </si>
  <si>
    <t>Móveis e Utensílios</t>
  </si>
  <si>
    <t>Equipamentos de Informática</t>
  </si>
  <si>
    <t>Veículos</t>
  </si>
  <si>
    <t>Máquinas e Implementos Agrícolas</t>
  </si>
  <si>
    <t>Demais itens do Ativo Imobilizado</t>
  </si>
  <si>
    <t>Depreciação Acumulada</t>
  </si>
  <si>
    <t>Média 
(ano)</t>
  </si>
  <si>
    <t>Taxa
(aa)</t>
  </si>
  <si>
    <t xml:space="preserve">OBS. A depreciação acumulada será calculada automaticamente, considerando a taxa padrão de depreciação dos bens do ativo imobilizado, multiplicado pela média da vida útil dos bens. Caso a Cooperativa mantenha controle patrimonial dos bens, poderá informar o valor da depreciação acumulada em seus controles. </t>
  </si>
  <si>
    <t>Qual o valor de títulos, duplicatas, boletos, cheques a pagar para cooperados, vencidos ou a vencer?</t>
  </si>
  <si>
    <t>Qual o valor de títulos, duplicatas, boletos, cheques a pagar para não cooperados, vencidos ou a vencer?</t>
  </si>
  <si>
    <t>Contas a Pagar no Curto Prazo</t>
  </si>
  <si>
    <t>Contas a Pagar no Longo Prazo</t>
  </si>
  <si>
    <t>Qual o valor das parcelas de empréstimos e financiamentos a vencer nos próximos 12 meses?</t>
  </si>
  <si>
    <t>Longo Prazo</t>
  </si>
  <si>
    <t>Qual o valor das parcelas de empréstimos e financiamentos a vencer após os próximos 12 meses?</t>
  </si>
  <si>
    <t>Total dos Empréstimos e Financiamentos</t>
  </si>
  <si>
    <t>Qual o valor de salários e encargos trabalhistas a pagar pela Cooperativa, no último dia do ano?</t>
  </si>
  <si>
    <t>Salários a pagar</t>
  </si>
  <si>
    <t>Férias a pagar</t>
  </si>
  <si>
    <t>Decimo terceiro a pagar</t>
  </si>
  <si>
    <t>Rescisões a pagar</t>
  </si>
  <si>
    <t>INSS a pagar</t>
  </si>
  <si>
    <t>FGTS a pagar</t>
  </si>
  <si>
    <t>Multa FGTS a pagar</t>
  </si>
  <si>
    <t>IRRF sobre folha a pagar</t>
  </si>
  <si>
    <t>Qual o valor dos tributos (impostos e taxas) a pagar devidos pela Cooperativa, no último dia do ano? Devem constar também os parcelamentos realizados pela Cooperativa?</t>
  </si>
  <si>
    <t>ISS a recolher</t>
  </si>
  <si>
    <t>ICMS a recolher</t>
  </si>
  <si>
    <t>PIS a recolher</t>
  </si>
  <si>
    <t>COFINS a recolher</t>
  </si>
  <si>
    <t>IRPJ a recolher</t>
  </si>
  <si>
    <t>CSLL a recolher</t>
  </si>
  <si>
    <t>Demais impostos e taxas (IPTU, IPVA etc.)</t>
  </si>
  <si>
    <t>Parcelamentos tributários (próximos 12 meses)</t>
  </si>
  <si>
    <t>Parcelamentos tributários (após 12 meses)</t>
  </si>
  <si>
    <t>Obrigações Tributárias de Curto Prazo</t>
  </si>
  <si>
    <t>Obrigações Tributárias de Longo Prazo</t>
  </si>
  <si>
    <t>Outros Débitos</t>
  </si>
  <si>
    <t>A Cooperativa possui outros valores a pagar, ou obrigações contra terceiros com previsão de pagamento para os próximos 12 meses?</t>
  </si>
  <si>
    <t>Adiantamento de clientes</t>
  </si>
  <si>
    <t>Vendas para entrega futura</t>
  </si>
  <si>
    <t>Demais debitos e obrigações</t>
  </si>
  <si>
    <t>A Cooperativa possui outros valores a pagar, ou obrigações contra terceiros com previsão de pagamento após os próximos 12 meses?</t>
  </si>
  <si>
    <t>Total Longo Prazo</t>
  </si>
  <si>
    <t>Qual o valor do capital social da cooperativa? Caso haja capital social a integralizar, favor informar.</t>
  </si>
  <si>
    <t>Capital Social a Integralizar</t>
  </si>
  <si>
    <t>Total Capital Social</t>
  </si>
  <si>
    <t>Ingressos e Receita de Vendas</t>
  </si>
  <si>
    <t>(Valores em R$, total do ano)</t>
  </si>
  <si>
    <t>Qual o valor das vendas de produtos e serviços para cooperados e não cooperados no exercício corrente?</t>
  </si>
  <si>
    <t>Venda de produtos para Cooperados</t>
  </si>
  <si>
    <t>Venda de produtos para Não Cooperados</t>
  </si>
  <si>
    <t>Venda de serviços para Cooperados</t>
  </si>
  <si>
    <t>Venda de serviços para Não Cooperados</t>
  </si>
  <si>
    <t>Devoluções e Impostos sobre Vendas</t>
  </si>
  <si>
    <t>Devolução de Vendas</t>
  </si>
  <si>
    <t>Qual o valor das devoluções de venda do período?</t>
  </si>
  <si>
    <t>ICMS</t>
  </si>
  <si>
    <t>Qual o valor dos impostos sobre venda do período?</t>
  </si>
  <si>
    <t>PIS</t>
  </si>
  <si>
    <t>COFINS</t>
  </si>
  <si>
    <t>ISS</t>
  </si>
  <si>
    <t>Total Devoluções e Impostos sobre Vendas</t>
  </si>
  <si>
    <t>Dispêndio/Custos de Vendas</t>
  </si>
  <si>
    <t>Margem
Bruta</t>
  </si>
  <si>
    <t>Custo de produtos para Cooperados</t>
  </si>
  <si>
    <t>Informar a margem bruta (MÉDIA) estimada para produtos e servicos da cooperativa. Para definir a margem bruta, considere o valor da venda os custos médios de compra de produtos e de prestação de serviços.</t>
  </si>
  <si>
    <t>Custo de produtos para Não Cooperados</t>
  </si>
  <si>
    <t>Custo de serviços para Cooperados</t>
  </si>
  <si>
    <t>Custo de serviços para Não Cooperados</t>
  </si>
  <si>
    <t>Total Dispêndio/Custos de Vendas</t>
  </si>
  <si>
    <t>Despesas Comerciais</t>
  </si>
  <si>
    <t>Comissão de vendas</t>
  </si>
  <si>
    <t>Qual o valor das despesas comerciais do período?</t>
  </si>
  <si>
    <t>Publicidade e Propaganda</t>
  </si>
  <si>
    <t>Feiras e Eventos</t>
  </si>
  <si>
    <t>Brindes</t>
  </si>
  <si>
    <t>Midias Sociais</t>
  </si>
  <si>
    <t>Fretes de vendas</t>
  </si>
  <si>
    <t>Bonificações</t>
  </si>
  <si>
    <t>Despesas de viagem</t>
  </si>
  <si>
    <t>Outras despesas comerciais</t>
  </si>
  <si>
    <t>Total das Despesas Comerciais</t>
  </si>
  <si>
    <t>Despesas com Pessoal</t>
  </si>
  <si>
    <t>Salários e Ordenados</t>
  </si>
  <si>
    <t>Qual o valor das despesas com pessoal do período?</t>
  </si>
  <si>
    <t>INSS</t>
  </si>
  <si>
    <t>Fgts</t>
  </si>
  <si>
    <t>Rescisão</t>
  </si>
  <si>
    <t>Férias</t>
  </si>
  <si>
    <t>Décimo Terceiro</t>
  </si>
  <si>
    <t>Vale Alimentação</t>
  </si>
  <si>
    <t>Vale Transporte</t>
  </si>
  <si>
    <t>Plano de Saúde</t>
  </si>
  <si>
    <t>Demais Benefícios</t>
  </si>
  <si>
    <t>Total Despesas com Pessoal</t>
  </si>
  <si>
    <t>Despesas Administrativas</t>
  </si>
  <si>
    <t>Aluguel</t>
  </si>
  <si>
    <t>Qual o valor das despesas administrativas do período?</t>
  </si>
  <si>
    <t>Água e Esgoto</t>
  </si>
  <si>
    <t>Energia Elétrica</t>
  </si>
  <si>
    <t>Telefonia e Internet</t>
  </si>
  <si>
    <t>Seguros</t>
  </si>
  <si>
    <t>Serviços de terceiros PJ</t>
  </si>
  <si>
    <t>Manutenção em geral</t>
  </si>
  <si>
    <t>Material de consumo</t>
  </si>
  <si>
    <t>Bens de pequeno valor</t>
  </si>
  <si>
    <t>Outras despesas administrativas</t>
  </si>
  <si>
    <t>Total Despesas Administrativas</t>
  </si>
  <si>
    <t>Despesas Tributárias</t>
  </si>
  <si>
    <t>IPTU</t>
  </si>
  <si>
    <t>Qual o valor das despesas tributárias do período?</t>
  </si>
  <si>
    <t>IPVA</t>
  </si>
  <si>
    <t>ICMS DIFAL</t>
  </si>
  <si>
    <t>Outras despesas tributárias</t>
  </si>
  <si>
    <t>Total Despesas Tributárias</t>
  </si>
  <si>
    <t>Outras Receitas e Despesas Operacionais</t>
  </si>
  <si>
    <t>Venda de ativo imobilizado</t>
  </si>
  <si>
    <t>Qual o valor das outras receitas operacionais do período?</t>
  </si>
  <si>
    <t>Prêmios de seguro recebidos</t>
  </si>
  <si>
    <t>Outras receitas operacionais</t>
  </si>
  <si>
    <t>Total Outras Receitas Operacionais</t>
  </si>
  <si>
    <t>Custo na venda de ativo imobilizado</t>
  </si>
  <si>
    <t>Qual o valor das outras despesas operacionais do período?</t>
  </si>
  <si>
    <t>Perdas deterioração de ativos</t>
  </si>
  <si>
    <t>Outras despesas operacionais</t>
  </si>
  <si>
    <t>Total Outras Despesas Operacionais</t>
  </si>
  <si>
    <t>Receitas e Despesas Financeiras</t>
  </si>
  <si>
    <t>Rendimentos de aplicações financeiras</t>
  </si>
  <si>
    <t>Qual o valor das outras receitas financeiras do período?</t>
  </si>
  <si>
    <t>Juros e multa de mora recebidos</t>
  </si>
  <si>
    <t>Descontos obtidos</t>
  </si>
  <si>
    <t>Outras receitas financeiras</t>
  </si>
  <si>
    <t>Total Receitas Financeiras</t>
  </si>
  <si>
    <t>Juros sobre empréstimos e financiamentos</t>
  </si>
  <si>
    <t>Qual o valor das outras despesas financeiras do período?</t>
  </si>
  <si>
    <t>Juros e multa de mora pago</t>
  </si>
  <si>
    <t>Descontos concedidos</t>
  </si>
  <si>
    <t>Despesas bancárias</t>
  </si>
  <si>
    <t>Outras despesas financeiras</t>
  </si>
  <si>
    <t>Total Despesas Financeiras</t>
  </si>
  <si>
    <t>Provisão de IRPJ e CSLL</t>
  </si>
  <si>
    <t>Qual o valor das provisões de IRPJ e CSLL do período?</t>
  </si>
  <si>
    <t>Provisão de IRPJ</t>
  </si>
  <si>
    <t>Provisão de CSLL</t>
  </si>
  <si>
    <t>Total Provisão de IRPJ e CSLL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</si>
</sst>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&quot;R$&quot;\ * #,##0_-;\-&quot;R$&quot;\ * #,##0_-;_-&quot;R$&quot;\ * &quot;-&quot;??_-;_-@_-"/>
    <numFmt numFmtId="166" formatCode="_-* #,##0.0000_-;\-* #,##0.0000_-;_-* &quot;-&quot;??_-;_-@_-"/>
    <numFmt numFmtId="167" formatCode="_(* #,##0_);_(* \(#,##0\);_(* &quot;-&quot;??_);_(@_)"/>
    <numFmt numFmtId="168" formatCode="_-[$R$-416]\ * #,##0.00_-;\-[$R$-416]\ * #,##0.00_-;_-[$R$-416]\ * &quot;-&quot;??_-;_-@_-"/>
    <numFmt numFmtId="169" formatCode="_-* #,##0_-;\-* #,##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FF"/>
      <name val="Arial"/>
      <family val="2"/>
    </font>
    <font>
      <sz val="12"/>
      <color theme="1"/>
      <name val="Arial"/>
      <family val="2"/>
    </font>
    <font>
      <b/>
      <u/>
      <sz val="12"/>
      <color rgb="FF0000FF"/>
      <name val="Arial"/>
      <family val="2"/>
    </font>
    <font>
      <u/>
      <sz val="12"/>
      <color theme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2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u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2"/>
      <color indexed="12"/>
      <name val="Arial"/>
      <family val="2"/>
    </font>
    <font>
      <sz val="12"/>
      <color rgb="FF0000FF"/>
      <name val="Arial"/>
      <family val="2"/>
    </font>
    <font>
      <b/>
      <u/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theme="9" tint="-0.249977111117893"/>
      <name val="Arial"/>
      <family val="2"/>
    </font>
    <font>
      <sz val="12"/>
      <color theme="9" tint="-0.249977111117893"/>
      <name val="Arial"/>
      <family val="2"/>
    </font>
    <font>
      <b/>
      <sz val="14"/>
      <name val="Arial"/>
      <family val="2"/>
    </font>
    <font>
      <b/>
      <sz val="12"/>
      <color theme="0" tint="-0.499984740745262"/>
      <name val="Arial"/>
      <family val="2"/>
    </font>
    <font>
      <sz val="14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 style="double">
        <color theme="0" tint="-0.499984740745262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7">
    <xf numFmtId="0" fontId="0" fillId="0" borderId="0" xfId="0"/>
    <xf numFmtId="0" fontId="10" fillId="0" borderId="0" xfId="0" applyFont="1" applyAlignment="1">
      <alignment horizontal="justify" vertical="center" wrapText="1"/>
    </xf>
    <xf numFmtId="0" fontId="12" fillId="0" borderId="0" xfId="4" applyFont="1" applyFill="1"/>
    <xf numFmtId="0" fontId="13" fillId="0" borderId="0" xfId="4" applyFont="1" applyFill="1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1" fillId="0" borderId="10" xfId="0" applyFont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4" fontId="17" fillId="0" borderId="2" xfId="2" applyFont="1" applyFill="1" applyBorder="1" applyAlignment="1">
      <alignment horizontal="left" vertical="center" wrapText="1"/>
    </xf>
    <xf numFmtId="168" fontId="19" fillId="0" borderId="0" xfId="1" applyNumberFormat="1" applyFont="1" applyFill="1" applyBorder="1" applyAlignment="1">
      <alignment horizontal="right" wrapText="1"/>
    </xf>
    <xf numFmtId="0" fontId="11" fillId="0" borderId="0" xfId="0" applyFont="1" applyAlignment="1">
      <alignment vertical="center"/>
    </xf>
    <xf numFmtId="168" fontId="14" fillId="0" borderId="0" xfId="1" applyNumberFormat="1" applyFont="1" applyFill="1" applyBorder="1" applyAlignment="1">
      <alignment horizontal="right" vertical="center" wrapText="1"/>
    </xf>
    <xf numFmtId="44" fontId="16" fillId="0" borderId="5" xfId="2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167" fontId="16" fillId="0" borderId="0" xfId="1" applyNumberFormat="1" applyFont="1" applyFill="1" applyBorder="1" applyAlignment="1">
      <alignment horizontal="right" vertical="center" wrapText="1"/>
    </xf>
    <xf numFmtId="168" fontId="14" fillId="0" borderId="0" xfId="1" applyNumberFormat="1" applyFont="1" applyFill="1" applyBorder="1" applyAlignment="1">
      <alignment horizontal="right" wrapText="1"/>
    </xf>
    <xf numFmtId="44" fontId="19" fillId="0" borderId="5" xfId="2" applyFont="1" applyFill="1" applyBorder="1" applyAlignment="1">
      <alignment horizontal="left" wrapText="1"/>
    </xf>
    <xf numFmtId="167" fontId="19" fillId="0" borderId="0" xfId="1" applyNumberFormat="1" applyFont="1" applyFill="1" applyBorder="1" applyAlignment="1">
      <alignment horizontal="right" wrapText="1"/>
    </xf>
    <xf numFmtId="3" fontId="1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9" fillId="0" borderId="0" xfId="0" applyFont="1"/>
    <xf numFmtId="3" fontId="19" fillId="0" borderId="0" xfId="0" applyNumberFormat="1" applyFont="1"/>
    <xf numFmtId="44" fontId="14" fillId="0" borderId="4" xfId="2" applyFont="1" applyFill="1" applyBorder="1"/>
    <xf numFmtId="0" fontId="11" fillId="0" borderId="11" xfId="0" applyFont="1" applyBorder="1"/>
    <xf numFmtId="0" fontId="11" fillId="0" borderId="12" xfId="0" applyFont="1" applyBorder="1"/>
    <xf numFmtId="0" fontId="14" fillId="0" borderId="12" xfId="0" applyFont="1" applyBorder="1"/>
    <xf numFmtId="0" fontId="19" fillId="0" borderId="12" xfId="0" applyFont="1" applyBorder="1"/>
    <xf numFmtId="0" fontId="11" fillId="0" borderId="13" xfId="0" applyFont="1" applyBorder="1"/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22" fillId="0" borderId="0" xfId="4" applyFont="1" applyFill="1"/>
    <xf numFmtId="44" fontId="14" fillId="0" borderId="0" xfId="0" applyNumberFormat="1" applyFont="1"/>
    <xf numFmtId="44" fontId="9" fillId="0" borderId="0" xfId="0" applyNumberFormat="1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left" vertical="center" indent="1"/>
    </xf>
    <xf numFmtId="0" fontId="14" fillId="0" borderId="20" xfId="0" applyFont="1" applyBorder="1"/>
    <xf numFmtId="0" fontId="19" fillId="0" borderId="20" xfId="0" applyFont="1" applyBorder="1"/>
    <xf numFmtId="44" fontId="19" fillId="0" borderId="0" xfId="0" applyNumberFormat="1" applyFont="1"/>
    <xf numFmtId="0" fontId="19" fillId="0" borderId="0" xfId="0" applyFont="1" applyAlignment="1">
      <alignment vertical="center"/>
    </xf>
    <xf numFmtId="0" fontId="23" fillId="0" borderId="0" xfId="4" applyFont="1" applyFill="1"/>
    <xf numFmtId="168" fontId="14" fillId="0" borderId="2" xfId="1" applyNumberFormat="1" applyFont="1" applyFill="1" applyBorder="1" applyAlignment="1">
      <alignment horizontal="right" wrapText="1"/>
    </xf>
    <xf numFmtId="44" fontId="11" fillId="0" borderId="0" xfId="2" applyFont="1" applyFill="1"/>
    <xf numFmtId="44" fontId="11" fillId="0" borderId="0" xfId="0" applyNumberFormat="1" applyFont="1"/>
    <xf numFmtId="43" fontId="11" fillId="0" borderId="0" xfId="1" applyFont="1" applyFill="1"/>
    <xf numFmtId="43" fontId="11" fillId="0" borderId="0" xfId="0" applyNumberFormat="1" applyFont="1"/>
    <xf numFmtId="44" fontId="14" fillId="0" borderId="2" xfId="2" applyFont="1" applyFill="1" applyBorder="1"/>
    <xf numFmtId="44" fontId="14" fillId="0" borderId="0" xfId="2" applyFont="1" applyFill="1" applyBorder="1"/>
    <xf numFmtId="44" fontId="19" fillId="0" borderId="22" xfId="2" applyFont="1" applyFill="1" applyBorder="1" applyAlignment="1">
      <alignment horizontal="left" wrapText="1"/>
    </xf>
    <xf numFmtId="44" fontId="19" fillId="0" borderId="0" xfId="2" applyFont="1" applyFill="1" applyBorder="1" applyAlignment="1">
      <alignment horizontal="left" wrapText="1"/>
    </xf>
    <xf numFmtId="9" fontId="16" fillId="0" borderId="5" xfId="3" applyFont="1" applyFill="1" applyBorder="1" applyAlignment="1">
      <alignment horizontal="center" vertical="center" wrapText="1"/>
    </xf>
    <xf numFmtId="0" fontId="16" fillId="0" borderId="0" xfId="0" applyFont="1" applyAlignment="1">
      <alignment horizontal="justify" vertical="center"/>
    </xf>
    <xf numFmtId="44" fontId="19" fillId="0" borderId="0" xfId="2" applyFont="1" applyFill="1" applyBorder="1" applyAlignment="1">
      <alignment horizontal="right" wrapText="1"/>
    </xf>
    <xf numFmtId="44" fontId="17" fillId="0" borderId="4" xfId="2" applyFont="1" applyFill="1" applyBorder="1" applyAlignment="1">
      <alignment horizontal="left" vertical="center" wrapText="1"/>
    </xf>
    <xf numFmtId="168" fontId="9" fillId="0" borderId="0" xfId="0" applyNumberFormat="1" applyFont="1"/>
    <xf numFmtId="0" fontId="9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44" fontId="14" fillId="0" borderId="4" xfId="0" applyNumberFormat="1" applyFont="1" applyBorder="1"/>
    <xf numFmtId="0" fontId="17" fillId="0" borderId="0" xfId="0" applyFont="1" applyAlignment="1">
      <alignment horizontal="justify" vertical="center" wrapText="1"/>
    </xf>
    <xf numFmtId="0" fontId="18" fillId="0" borderId="0" xfId="0" applyFont="1" applyAlignment="1">
      <alignment horizontal="left"/>
    </xf>
    <xf numFmtId="0" fontId="17" fillId="0" borderId="20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3" fontId="19" fillId="0" borderId="20" xfId="0" applyNumberFormat="1" applyFont="1" applyBorder="1" applyAlignment="1">
      <alignment horizontal="right" vertical="center"/>
    </xf>
    <xf numFmtId="0" fontId="29" fillId="0" borderId="0" xfId="4" applyFont="1" applyFill="1"/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7" fillId="0" borderId="0" xfId="0" applyFont="1" applyAlignment="1">
      <alignment vertical="center" wrapText="1"/>
    </xf>
    <xf numFmtId="44" fontId="19" fillId="0" borderId="0" xfId="2" applyFont="1" applyFill="1" applyBorder="1"/>
    <xf numFmtId="44" fontId="9" fillId="0" borderId="4" xfId="0" applyNumberFormat="1" applyFont="1" applyBorder="1"/>
    <xf numFmtId="0" fontId="11" fillId="0" borderId="29" xfId="0" applyFont="1" applyBorder="1"/>
    <xf numFmtId="0" fontId="11" fillId="0" borderId="30" xfId="0" applyFont="1" applyBorder="1"/>
    <xf numFmtId="0" fontId="19" fillId="0" borderId="30" xfId="0" applyFont="1" applyBorder="1"/>
    <xf numFmtId="0" fontId="11" fillId="0" borderId="31" xfId="0" applyFont="1" applyBorder="1"/>
    <xf numFmtId="0" fontId="17" fillId="0" borderId="0" xfId="0" applyFont="1" applyAlignment="1">
      <alignment horizontal="center" wrapText="1"/>
    </xf>
    <xf numFmtId="9" fontId="16" fillId="0" borderId="0" xfId="0" applyNumberFormat="1" applyFont="1" applyAlignment="1">
      <alignment horizontal="center" vertical="center"/>
    </xf>
    <xf numFmtId="168" fontId="14" fillId="0" borderId="4" xfId="1" applyNumberFormat="1" applyFont="1" applyFill="1" applyBorder="1" applyAlignment="1">
      <alignment horizontal="right" wrapText="1"/>
    </xf>
    <xf numFmtId="44" fontId="16" fillId="0" borderId="0" xfId="2" applyFont="1" applyFill="1" applyBorder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44" fontId="30" fillId="0" borderId="5" xfId="2" applyFont="1" applyFill="1" applyBorder="1" applyAlignment="1" applyProtection="1">
      <alignment horizontal="left" vertical="center" wrapText="1"/>
      <protection locked="0"/>
    </xf>
    <xf numFmtId="44" fontId="30" fillId="0" borderId="5" xfId="2" applyFont="1" applyFill="1" applyBorder="1" applyAlignment="1" applyProtection="1">
      <alignment horizontal="left" wrapText="1"/>
      <protection locked="0"/>
    </xf>
    <xf numFmtId="0" fontId="33" fillId="0" borderId="0" xfId="0" applyFont="1" applyAlignment="1">
      <alignment horizontal="left"/>
    </xf>
    <xf numFmtId="0" fontId="35" fillId="0" borderId="0" xfId="0" applyFont="1"/>
    <xf numFmtId="0" fontId="35" fillId="0" borderId="0" xfId="0" applyFont="1" applyAlignment="1">
      <alignment vertical="center"/>
    </xf>
    <xf numFmtId="164" fontId="19" fillId="0" borderId="5" xfId="3" applyNumberFormat="1" applyFont="1" applyFill="1" applyBorder="1" applyAlignment="1" applyProtection="1">
      <alignment horizontal="center" wrapText="1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/>
    </xf>
    <xf numFmtId="44" fontId="19" fillId="0" borderId="5" xfId="2" applyFont="1" applyFill="1" applyBorder="1" applyAlignment="1">
      <alignment horizontal="left" vertical="center" wrapText="1"/>
    </xf>
    <xf numFmtId="3" fontId="30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 wrapText="1"/>
    </xf>
    <xf numFmtId="10" fontId="30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37" fillId="0" borderId="17" xfId="0" applyFont="1" applyBorder="1"/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0" borderId="15" xfId="0" applyFont="1" applyBorder="1"/>
    <xf numFmtId="0" fontId="9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3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43" fontId="9" fillId="0" borderId="0" xfId="1" applyFont="1" applyFill="1" applyBorder="1" applyAlignment="1" applyProtection="1">
      <alignment horizontal="center" vertical="center" wrapText="1"/>
    </xf>
    <xf numFmtId="164" fontId="9" fillId="0" borderId="0" xfId="3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center" vertical="center" wrapText="1"/>
    </xf>
    <xf numFmtId="165" fontId="9" fillId="0" borderId="0" xfId="2" applyNumberFormat="1" applyFont="1" applyFill="1" applyBorder="1" applyAlignment="1" applyProtection="1">
      <alignment horizontal="right" vertical="center" wrapText="1"/>
    </xf>
    <xf numFmtId="0" fontId="11" fillId="0" borderId="0" xfId="0" applyFont="1" applyAlignment="1">
      <alignment horizontal="left" vertical="center" wrapText="1" indent="1"/>
    </xf>
    <xf numFmtId="0" fontId="12" fillId="0" borderId="0" xfId="4" applyFont="1" applyFill="1" applyBorder="1" applyAlignment="1" applyProtection="1">
      <alignment horizontal="center" vertical="center" wrapText="1"/>
    </xf>
    <xf numFmtId="165" fontId="11" fillId="0" borderId="0" xfId="2" applyNumberFormat="1" applyFont="1" applyFill="1" applyBorder="1" applyAlignment="1" applyProtection="1">
      <alignment horizontal="right" vertical="center" wrapText="1"/>
    </xf>
    <xf numFmtId="0" fontId="12" fillId="0" borderId="0" xfId="4" applyFont="1" applyFill="1" applyBorder="1" applyAlignment="1" applyProtection="1">
      <alignment horizontal="left" vertical="center" wrapText="1" indent="1"/>
    </xf>
    <xf numFmtId="165" fontId="19" fillId="0" borderId="0" xfId="2" applyNumberFormat="1" applyFont="1" applyFill="1" applyBorder="1" applyAlignment="1" applyProtection="1">
      <alignment horizontal="right" vertical="center" wrapText="1"/>
    </xf>
    <xf numFmtId="0" fontId="11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justify" vertical="center" wrapText="1"/>
    </xf>
    <xf numFmtId="0" fontId="10" fillId="0" borderId="0" xfId="0" applyFont="1"/>
    <xf numFmtId="0" fontId="11" fillId="0" borderId="2" xfId="0" applyFont="1" applyBorder="1" applyAlignment="1">
      <alignment horizontal="left" vertical="center" wrapText="1" indent="2"/>
    </xf>
    <xf numFmtId="0" fontId="10" fillId="0" borderId="2" xfId="0" applyFont="1" applyBorder="1" applyAlignment="1">
      <alignment horizontal="center" vertical="center" wrapText="1"/>
    </xf>
    <xf numFmtId="165" fontId="11" fillId="0" borderId="2" xfId="2" applyNumberFormat="1" applyFont="1" applyFill="1" applyBorder="1" applyAlignment="1" applyProtection="1">
      <alignment horizontal="right" vertical="center" wrapText="1"/>
    </xf>
    <xf numFmtId="0" fontId="11" fillId="0" borderId="2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10" fillId="0" borderId="20" xfId="0" applyFont="1" applyBorder="1" applyAlignment="1">
      <alignment horizontal="center"/>
    </xf>
    <xf numFmtId="0" fontId="9" fillId="0" borderId="20" xfId="0" applyFont="1" applyBorder="1"/>
    <xf numFmtId="0" fontId="24" fillId="0" borderId="0" xfId="0" applyFont="1"/>
    <xf numFmtId="0" fontId="25" fillId="0" borderId="0" xfId="0" applyFont="1" applyAlignment="1">
      <alignment horizontal="center"/>
    </xf>
    <xf numFmtId="0" fontId="24" fillId="0" borderId="14" xfId="0" applyFont="1" applyBorder="1"/>
    <xf numFmtId="0" fontId="24" fillId="0" borderId="15" xfId="0" applyFont="1" applyBorder="1"/>
    <xf numFmtId="0" fontId="25" fillId="0" borderId="15" xfId="0" applyFont="1" applyBorder="1" applyAlignment="1">
      <alignment horizontal="center"/>
    </xf>
    <xf numFmtId="0" fontId="24" fillId="0" borderId="16" xfId="0" applyFont="1" applyBorder="1"/>
    <xf numFmtId="0" fontId="24" fillId="0" borderId="17" xfId="0" applyFont="1" applyBorder="1"/>
    <xf numFmtId="0" fontId="25" fillId="0" borderId="1" xfId="0" applyFont="1" applyBorder="1" applyAlignment="1">
      <alignment horizontal="center" vertical="top" wrapText="1"/>
    </xf>
    <xf numFmtId="164" fontId="26" fillId="0" borderId="1" xfId="3" applyNumberFormat="1" applyFont="1" applyFill="1" applyBorder="1" applyAlignment="1" applyProtection="1">
      <alignment horizontal="center" vertical="center" wrapText="1"/>
    </xf>
    <xf numFmtId="0" fontId="24" fillId="0" borderId="18" xfId="0" applyFont="1" applyBorder="1"/>
    <xf numFmtId="0" fontId="25" fillId="0" borderId="0" xfId="0" applyFont="1" applyAlignment="1">
      <alignment horizontal="center" vertical="center" wrapText="1"/>
    </xf>
    <xf numFmtId="164" fontId="26" fillId="0" borderId="0" xfId="3" applyNumberFormat="1" applyFont="1" applyFill="1" applyBorder="1" applyAlignment="1" applyProtection="1">
      <alignment horizontal="center" vertical="center" wrapText="1"/>
    </xf>
    <xf numFmtId="0" fontId="31" fillId="0" borderId="0" xfId="4" applyFont="1" applyFill="1" applyBorder="1" applyAlignment="1" applyProtection="1">
      <alignment horizontal="center" vertical="center" wrapText="1"/>
    </xf>
    <xf numFmtId="164" fontId="27" fillId="0" borderId="0" xfId="3" applyNumberFormat="1" applyFont="1" applyFill="1" applyBorder="1" applyAlignment="1" applyProtection="1">
      <alignment horizontal="right" vertical="center" wrapText="1"/>
    </xf>
    <xf numFmtId="0" fontId="32" fillId="0" borderId="0" xfId="0" applyFont="1" applyAlignment="1">
      <alignment horizontal="center" vertical="center" wrapText="1"/>
    </xf>
    <xf numFmtId="164" fontId="28" fillId="0" borderId="0" xfId="3" applyNumberFormat="1" applyFont="1" applyFill="1" applyBorder="1" applyAlignment="1" applyProtection="1">
      <alignment horizontal="right" vertical="center" wrapText="1"/>
    </xf>
    <xf numFmtId="166" fontId="11" fillId="0" borderId="0" xfId="1" applyNumberFormat="1" applyFont="1" applyFill="1" applyBorder="1" applyAlignment="1" applyProtection="1">
      <alignment horizontal="right" vertical="center" wrapText="1"/>
    </xf>
    <xf numFmtId="0" fontId="32" fillId="0" borderId="2" xfId="0" applyFont="1" applyBorder="1" applyAlignment="1">
      <alignment horizontal="center" vertical="center" wrapText="1"/>
    </xf>
    <xf numFmtId="43" fontId="11" fillId="0" borderId="2" xfId="1" applyFont="1" applyFill="1" applyBorder="1" applyAlignment="1" applyProtection="1">
      <alignment horizontal="right" vertical="center" wrapText="1"/>
    </xf>
    <xf numFmtId="164" fontId="28" fillId="0" borderId="2" xfId="3" applyNumberFormat="1" applyFont="1" applyFill="1" applyBorder="1" applyAlignment="1" applyProtection="1">
      <alignment horizontal="right" vertical="center" wrapText="1"/>
    </xf>
    <xf numFmtId="44" fontId="9" fillId="0" borderId="3" xfId="2" applyFont="1" applyFill="1" applyBorder="1" applyAlignment="1" applyProtection="1">
      <alignment horizontal="right" vertical="center" wrapText="1"/>
    </xf>
    <xf numFmtId="0" fontId="24" fillId="0" borderId="19" xfId="0" applyFont="1" applyBorder="1"/>
    <xf numFmtId="0" fontId="24" fillId="0" borderId="20" xfId="0" applyFont="1" applyBorder="1"/>
    <xf numFmtId="0" fontId="25" fillId="0" borderId="20" xfId="0" applyFont="1" applyBorder="1" applyAlignment="1">
      <alignment horizontal="center"/>
    </xf>
    <xf numFmtId="0" fontId="24" fillId="0" borderId="21" xfId="0" applyFont="1" applyBorder="1"/>
    <xf numFmtId="0" fontId="10" fillId="0" borderId="5" xfId="2" applyNumberFormat="1" applyFont="1" applyFill="1" applyBorder="1" applyAlignment="1" applyProtection="1">
      <alignment horizontal="center" wrapText="1"/>
      <protection locked="0"/>
    </xf>
    <xf numFmtId="10" fontId="20" fillId="0" borderId="0" xfId="3" applyNumberFormat="1" applyFont="1" applyFill="1" applyBorder="1" applyAlignment="1" applyProtection="1">
      <alignment horizontal="right" vertical="center" wrapText="1"/>
    </xf>
    <xf numFmtId="10" fontId="21" fillId="0" borderId="0" xfId="3" applyNumberFormat="1" applyFont="1" applyFill="1" applyBorder="1" applyAlignment="1" applyProtection="1">
      <alignment horizontal="right" vertical="center" wrapText="1"/>
    </xf>
    <xf numFmtId="10" fontId="21" fillId="0" borderId="2" xfId="3" applyNumberFormat="1" applyFont="1" applyFill="1" applyBorder="1" applyAlignment="1" applyProtection="1">
      <alignment horizontal="right" vertical="center" wrapText="1"/>
    </xf>
    <xf numFmtId="0" fontId="30" fillId="0" borderId="23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8" fillId="0" borderId="0" xfId="0" applyFont="1" applyAlignment="1">
      <alignment vertical="center"/>
    </xf>
    <xf numFmtId="0" fontId="3" fillId="0" borderId="18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3" fontId="3" fillId="0" borderId="1" xfId="1" applyFont="1" applyFill="1" applyBorder="1" applyAlignment="1" applyProtection="1">
      <alignment horizontal="right" vertical="center" wrapText="1"/>
    </xf>
    <xf numFmtId="10" fontId="3" fillId="0" borderId="1" xfId="3" applyNumberFormat="1" applyFont="1" applyFill="1" applyBorder="1" applyAlignment="1" applyProtection="1">
      <alignment horizontal="right" vertical="center" wrapText="1"/>
    </xf>
    <xf numFmtId="169" fontId="3" fillId="0" borderId="1" xfId="1" applyNumberFormat="1" applyFont="1" applyFill="1" applyBorder="1" applyAlignment="1" applyProtection="1">
      <alignment horizontal="right" vertical="center" wrapText="1"/>
    </xf>
    <xf numFmtId="166" fontId="3" fillId="0" borderId="1" xfId="1" applyNumberFormat="1" applyFont="1" applyFill="1" applyBorder="1" applyAlignment="1" applyProtection="1">
      <alignment horizontal="right" vertical="center" wrapText="1"/>
    </xf>
    <xf numFmtId="43" fontId="3" fillId="0" borderId="0" xfId="1" applyFont="1" applyFill="1"/>
    <xf numFmtId="169" fontId="3" fillId="0" borderId="1" xfId="1" applyNumberFormat="1" applyFont="1" applyFill="1" applyBorder="1" applyAlignment="1">
      <alignment horizontal="right" vertical="center" wrapText="1"/>
    </xf>
    <xf numFmtId="10" fontId="3" fillId="0" borderId="1" xfId="3" applyNumberFormat="1" applyFont="1" applyFill="1" applyBorder="1" applyAlignment="1">
      <alignment horizontal="right" vertical="center" wrapText="1"/>
    </xf>
    <xf numFmtId="43" fontId="3" fillId="0" borderId="1" xfId="1" applyFont="1" applyFill="1" applyBorder="1" applyAlignment="1">
      <alignment horizontal="righ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3" fillId="0" borderId="0" xfId="0" applyFont="1" applyAlignment="1">
      <alignment horizontal="justify" vertical="center" wrapText="1"/>
    </xf>
    <xf numFmtId="0" fontId="33" fillId="0" borderId="0" xfId="0" applyFont="1" applyAlignment="1">
      <alignment horizontal="left" vertical="center" wrapText="1"/>
    </xf>
    <xf numFmtId="0" fontId="36" fillId="0" borderId="0" xfId="0" applyFont="1" applyAlignment="1">
      <alignment horizontal="justify" vertical="center" wrapText="1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ABCF-0556-4E48-97AC-7D78E3CB550C}">
  <sheetPr>
    <pageSetUpPr fitToPage="1"/>
  </sheetPr>
  <dimension ref="B2:L36"/>
  <sheetViews>
    <sheetView showGridLines="0" topLeftCell="A9" zoomScaleNormal="100" workbookViewId="0">
      <selection activeCell="E3" sqref="E3"/>
    </sheetView>
  </sheetViews>
  <sheetFormatPr baseColWidth="10" defaultColWidth="8.83203125" defaultRowHeight="16" x14ac:dyDescent="0.2"/>
  <cols>
    <col min="1" max="1" width="8.83203125" style="4"/>
    <col min="2" max="2" width="4.6640625" style="4" customWidth="1"/>
    <col min="3" max="3" width="40.6640625" style="4" customWidth="1"/>
    <col min="4" max="4" width="7.6640625" style="117" customWidth="1"/>
    <col min="5" max="5" width="25.6640625" style="4" customWidth="1"/>
    <col min="6" max="6" width="15.6640625" style="4" customWidth="1"/>
    <col min="7" max="7" width="6.83203125" style="4" customWidth="1"/>
    <col min="8" max="8" width="40.6640625" style="4" customWidth="1"/>
    <col min="9" max="9" width="7.6640625" style="11" customWidth="1"/>
    <col min="10" max="10" width="25.6640625" style="4" customWidth="1"/>
    <col min="11" max="11" width="15.6640625" style="4" customWidth="1"/>
    <col min="12" max="12" width="4.6640625" style="4" customWidth="1"/>
    <col min="13" max="16384" width="8.83203125" style="4"/>
  </cols>
  <sheetData>
    <row r="2" spans="2:12" x14ac:dyDescent="0.2">
      <c r="B2" s="11" t="s">
        <v>0</v>
      </c>
      <c r="E2" s="176">
        <v>2025</v>
      </c>
    </row>
    <row r="4" spans="2:12" ht="17" thickBot="1" x14ac:dyDescent="0.25"/>
    <row r="5" spans="2:12" ht="17" thickTop="1" x14ac:dyDescent="0.2">
      <c r="B5" s="43"/>
      <c r="C5" s="44"/>
      <c r="D5" s="118"/>
      <c r="E5" s="44"/>
      <c r="F5" s="44"/>
      <c r="G5" s="44"/>
      <c r="H5" s="44"/>
      <c r="I5" s="119"/>
      <c r="J5" s="44"/>
      <c r="K5" s="44"/>
      <c r="L5" s="45"/>
    </row>
    <row r="6" spans="2:12" ht="17" x14ac:dyDescent="0.2">
      <c r="B6" s="46"/>
      <c r="C6" s="120" t="s">
        <v>1</v>
      </c>
      <c r="D6" s="121" t="s">
        <v>2</v>
      </c>
      <c r="E6" s="122">
        <f>$E$2</f>
        <v>2025</v>
      </c>
      <c r="F6" s="123" t="s">
        <v>3</v>
      </c>
      <c r="H6" s="124" t="s">
        <v>4</v>
      </c>
      <c r="I6" s="124" t="s">
        <v>2</v>
      </c>
      <c r="J6" s="122">
        <f>$E$2</f>
        <v>2025</v>
      </c>
      <c r="K6" s="123" t="s">
        <v>3</v>
      </c>
      <c r="L6" s="47"/>
    </row>
    <row r="7" spans="2:12" x14ac:dyDescent="0.2">
      <c r="B7" s="46"/>
      <c r="C7" s="125"/>
      <c r="D7" s="126"/>
      <c r="E7" s="127"/>
      <c r="F7" s="128"/>
      <c r="H7" s="129"/>
      <c r="I7" s="129"/>
      <c r="J7" s="130"/>
      <c r="K7" s="128"/>
      <c r="L7" s="47"/>
    </row>
    <row r="8" spans="2:12" ht="17" x14ac:dyDescent="0.2">
      <c r="B8" s="46"/>
      <c r="C8" s="131" t="s">
        <v>5</v>
      </c>
      <c r="D8" s="132"/>
      <c r="E8" s="133">
        <f>SUM(E9:E13)</f>
        <v>1012000</v>
      </c>
      <c r="F8" s="177">
        <f t="shared" ref="F8:F13" si="0">IF($E$28=0,0,E8/$E$28)</f>
        <v>0.56949915588069777</v>
      </c>
      <c r="H8" s="131" t="s">
        <v>5</v>
      </c>
      <c r="I8" s="131"/>
      <c r="J8" s="133">
        <f>SUM(J9:J13)</f>
        <v>686200</v>
      </c>
      <c r="K8" s="177">
        <f t="shared" ref="K8:K13" si="1">IF($J$28=0,0,J8/$J$28)</f>
        <v>0.38615644344400674</v>
      </c>
      <c r="L8" s="47"/>
    </row>
    <row r="9" spans="2:12" ht="17" x14ac:dyDescent="0.2">
      <c r="B9" s="46"/>
      <c r="C9" s="134" t="s">
        <v>6</v>
      </c>
      <c r="D9" s="135" t="s">
        <v>7</v>
      </c>
      <c r="E9" s="136">
        <f>A.01!$G$29</f>
        <v>330000</v>
      </c>
      <c r="F9" s="178">
        <f t="shared" si="0"/>
        <v>0.18570624648283623</v>
      </c>
      <c r="H9" s="134" t="s">
        <v>8</v>
      </c>
      <c r="I9" s="137" t="s">
        <v>9</v>
      </c>
      <c r="J9" s="136">
        <f>P.01!$G$32</f>
        <v>400000</v>
      </c>
      <c r="K9" s="178">
        <f t="shared" si="1"/>
        <v>0.22509848058525606</v>
      </c>
      <c r="L9" s="47"/>
    </row>
    <row r="10" spans="2:12" ht="17" x14ac:dyDescent="0.2">
      <c r="B10" s="46"/>
      <c r="C10" s="134" t="s">
        <v>10</v>
      </c>
      <c r="D10" s="135" t="s">
        <v>11</v>
      </c>
      <c r="E10" s="138">
        <f>A.02!$G$33</f>
        <v>205000</v>
      </c>
      <c r="F10" s="178">
        <f t="shared" si="0"/>
        <v>0.11536297129994373</v>
      </c>
      <c r="H10" s="134" t="s">
        <v>12</v>
      </c>
      <c r="I10" s="137" t="s">
        <v>13</v>
      </c>
      <c r="J10" s="136">
        <f>P.02!$G$9</f>
        <v>95000</v>
      </c>
      <c r="K10" s="178">
        <f t="shared" si="1"/>
        <v>5.346088913899831E-2</v>
      </c>
      <c r="L10" s="47"/>
    </row>
    <row r="11" spans="2:12" ht="17" x14ac:dyDescent="0.2">
      <c r="B11" s="46"/>
      <c r="C11" s="134" t="s">
        <v>14</v>
      </c>
      <c r="D11" s="135" t="s">
        <v>15</v>
      </c>
      <c r="E11" s="138">
        <f>A.03!$G$15</f>
        <v>50000</v>
      </c>
      <c r="F11" s="178">
        <f t="shared" si="0"/>
        <v>2.8137310073157007E-2</v>
      </c>
      <c r="H11" s="134" t="s">
        <v>16</v>
      </c>
      <c r="I11" s="137" t="s">
        <v>17</v>
      </c>
      <c r="J11" s="136">
        <f>P.03!$G$18</f>
        <v>155000</v>
      </c>
      <c r="K11" s="178">
        <f t="shared" si="1"/>
        <v>8.7225661226786724E-2</v>
      </c>
      <c r="L11" s="47"/>
    </row>
    <row r="12" spans="2:12" ht="17" x14ac:dyDescent="0.2">
      <c r="B12" s="46"/>
      <c r="C12" s="134" t="s">
        <v>18</v>
      </c>
      <c r="D12" s="135" t="s">
        <v>19</v>
      </c>
      <c r="E12" s="138">
        <f>A.04!$G$17</f>
        <v>425000</v>
      </c>
      <c r="F12" s="178">
        <f t="shared" si="0"/>
        <v>0.23916713562183456</v>
      </c>
      <c r="H12" s="134" t="s">
        <v>20</v>
      </c>
      <c r="I12" s="137" t="s">
        <v>21</v>
      </c>
      <c r="J12" s="136">
        <f>P.04!$G$21</f>
        <v>35000</v>
      </c>
      <c r="K12" s="178">
        <f t="shared" si="1"/>
        <v>1.9696117051209903E-2</v>
      </c>
      <c r="L12" s="47"/>
    </row>
    <row r="13" spans="2:12" ht="17" x14ac:dyDescent="0.2">
      <c r="B13" s="46"/>
      <c r="C13" s="134" t="s">
        <v>22</v>
      </c>
      <c r="D13" s="135" t="s">
        <v>23</v>
      </c>
      <c r="E13" s="138">
        <f>A.05!$G$9</f>
        <v>2000</v>
      </c>
      <c r="F13" s="178">
        <f t="shared" si="0"/>
        <v>1.1254924029262803E-3</v>
      </c>
      <c r="H13" s="134" t="s">
        <v>24</v>
      </c>
      <c r="I13" s="137" t="s">
        <v>25</v>
      </c>
      <c r="J13" s="136">
        <f>P.05!$G$9</f>
        <v>1200</v>
      </c>
      <c r="K13" s="178">
        <f t="shared" si="1"/>
        <v>6.7529544175576816E-4</v>
      </c>
      <c r="L13" s="47"/>
    </row>
    <row r="14" spans="2:12" x14ac:dyDescent="0.2">
      <c r="B14" s="46"/>
      <c r="C14" s="139"/>
      <c r="D14" s="132"/>
      <c r="E14" s="136"/>
      <c r="F14" s="178"/>
      <c r="H14" s="139"/>
      <c r="I14" s="140"/>
      <c r="J14" s="136"/>
      <c r="K14" s="178"/>
      <c r="L14" s="47"/>
    </row>
    <row r="15" spans="2:12" ht="17" x14ac:dyDescent="0.2">
      <c r="B15" s="46"/>
      <c r="C15" s="131" t="s">
        <v>26</v>
      </c>
      <c r="D15" s="132"/>
      <c r="E15" s="133">
        <f>E16+E19</f>
        <v>765000</v>
      </c>
      <c r="F15" s="177">
        <f t="shared" ref="F15:F21" si="2">IF($E$28=0,0,E15/$E$28)</f>
        <v>0.43050084411930217</v>
      </c>
      <c r="H15" s="131" t="s">
        <v>26</v>
      </c>
      <c r="I15" s="1"/>
      <c r="J15" s="133">
        <f>J16</f>
        <v>420000</v>
      </c>
      <c r="K15" s="177">
        <f t="shared" ref="K15:K20" si="3">IF($J$28=0,0,J15/$J$28)</f>
        <v>0.23635340461451884</v>
      </c>
      <c r="L15" s="47"/>
    </row>
    <row r="16" spans="2:12" ht="17" x14ac:dyDescent="0.2">
      <c r="B16" s="46"/>
      <c r="C16" s="134" t="s">
        <v>27</v>
      </c>
      <c r="D16" s="132"/>
      <c r="E16" s="136">
        <f>SUM(E17:E18)</f>
        <v>0</v>
      </c>
      <c r="F16" s="178">
        <f t="shared" si="2"/>
        <v>0</v>
      </c>
      <c r="H16" s="134" t="s">
        <v>28</v>
      </c>
      <c r="I16" s="141"/>
      <c r="J16" s="136">
        <f>SUM(J17:J20)</f>
        <v>420000</v>
      </c>
      <c r="K16" s="178">
        <f t="shared" si="3"/>
        <v>0.23635340461451884</v>
      </c>
      <c r="L16" s="47"/>
    </row>
    <row r="17" spans="2:12" ht="17" x14ac:dyDescent="0.2">
      <c r="B17" s="46"/>
      <c r="C17" s="139" t="s">
        <v>10</v>
      </c>
      <c r="D17" s="135" t="s">
        <v>11</v>
      </c>
      <c r="E17" s="136">
        <f>A.02!$G$34</f>
        <v>0</v>
      </c>
      <c r="F17" s="178">
        <f t="shared" si="2"/>
        <v>0</v>
      </c>
      <c r="H17" s="139" t="s">
        <v>8</v>
      </c>
      <c r="I17" s="137" t="s">
        <v>9</v>
      </c>
      <c r="J17" s="136">
        <f>P.01!$G$33</f>
        <v>380000</v>
      </c>
      <c r="K17" s="178">
        <f t="shared" si="3"/>
        <v>0.21384355655599324</v>
      </c>
      <c r="L17" s="47"/>
    </row>
    <row r="18" spans="2:12" ht="17" x14ac:dyDescent="0.2">
      <c r="B18" s="46"/>
      <c r="C18" s="139" t="s">
        <v>29</v>
      </c>
      <c r="D18" s="135" t="s">
        <v>23</v>
      </c>
      <c r="E18" s="136">
        <f>A.05!$G$15</f>
        <v>0</v>
      </c>
      <c r="F18" s="178">
        <f t="shared" si="2"/>
        <v>0</v>
      </c>
      <c r="H18" s="139" t="s">
        <v>30</v>
      </c>
      <c r="I18" s="137" t="s">
        <v>13</v>
      </c>
      <c r="J18" s="136">
        <f>P.02!$G$17</f>
        <v>40000</v>
      </c>
      <c r="K18" s="178">
        <f t="shared" si="3"/>
        <v>2.2509848058525603E-2</v>
      </c>
      <c r="L18" s="47"/>
    </row>
    <row r="19" spans="2:12" ht="17" x14ac:dyDescent="0.2">
      <c r="B19" s="46"/>
      <c r="C19" s="134" t="s">
        <v>31</v>
      </c>
      <c r="D19" s="135"/>
      <c r="E19" s="136">
        <f>SUM(E20:E22)</f>
        <v>765000</v>
      </c>
      <c r="F19" s="178">
        <f t="shared" si="2"/>
        <v>0.43050084411930217</v>
      </c>
      <c r="H19" s="139" t="s">
        <v>20</v>
      </c>
      <c r="I19" s="137" t="s">
        <v>21</v>
      </c>
      <c r="J19" s="136">
        <f>P.04!$G$22</f>
        <v>0</v>
      </c>
      <c r="K19" s="178">
        <f t="shared" si="3"/>
        <v>0</v>
      </c>
      <c r="L19" s="47"/>
    </row>
    <row r="20" spans="2:12" ht="17" x14ac:dyDescent="0.2">
      <c r="B20" s="46"/>
      <c r="C20" s="139" t="s">
        <v>32</v>
      </c>
      <c r="D20" s="135" t="s">
        <v>33</v>
      </c>
      <c r="E20" s="136">
        <f>A.06!$G$15</f>
        <v>200000</v>
      </c>
      <c r="F20" s="178">
        <f t="shared" si="2"/>
        <v>0.11254924029262803</v>
      </c>
      <c r="H20" s="139" t="s">
        <v>34</v>
      </c>
      <c r="I20" s="137" t="s">
        <v>25</v>
      </c>
      <c r="J20" s="136">
        <f>P.05!$G$17</f>
        <v>0</v>
      </c>
      <c r="K20" s="178">
        <f t="shared" si="3"/>
        <v>0</v>
      </c>
      <c r="L20" s="47"/>
    </row>
    <row r="21" spans="2:12" ht="17" x14ac:dyDescent="0.2">
      <c r="B21" s="46"/>
      <c r="C21" s="139" t="s">
        <v>35</v>
      </c>
      <c r="D21" s="135" t="s">
        <v>36</v>
      </c>
      <c r="E21" s="136">
        <f>A.07!$J$30</f>
        <v>565000</v>
      </c>
      <c r="F21" s="178">
        <f t="shared" si="2"/>
        <v>0.31795160382667415</v>
      </c>
      <c r="H21" s="142"/>
      <c r="I21" s="1"/>
      <c r="J21" s="136"/>
      <c r="K21" s="178"/>
      <c r="L21" s="47"/>
    </row>
    <row r="22" spans="2:12" ht="17" x14ac:dyDescent="0.2">
      <c r="B22" s="46"/>
      <c r="C22" s="139"/>
      <c r="D22" s="135"/>
      <c r="E22" s="136"/>
      <c r="F22" s="178"/>
      <c r="H22" s="131" t="s">
        <v>37</v>
      </c>
      <c r="I22" s="1"/>
      <c r="J22" s="133">
        <f>SUM(J23:J26)</f>
        <v>670800</v>
      </c>
      <c r="K22" s="177">
        <f t="shared" ref="K22:K26" si="4">IF($J$28=0,0,J22/$J$28)</f>
        <v>0.37749015194147439</v>
      </c>
      <c r="L22" s="47"/>
    </row>
    <row r="23" spans="2:12" ht="17" x14ac:dyDescent="0.2">
      <c r="B23" s="46"/>
      <c r="C23" s="139"/>
      <c r="D23" s="135"/>
      <c r="E23" s="136"/>
      <c r="F23" s="178"/>
      <c r="H23" s="134" t="s">
        <v>38</v>
      </c>
      <c r="I23" s="137" t="s">
        <v>39</v>
      </c>
      <c r="J23" s="136">
        <f>P.06!$G$9</f>
        <v>500000</v>
      </c>
      <c r="K23" s="178">
        <f t="shared" si="4"/>
        <v>0.28137310073157007</v>
      </c>
      <c r="L23" s="47"/>
    </row>
    <row r="24" spans="2:12" ht="17" x14ac:dyDescent="0.2">
      <c r="B24" s="46"/>
      <c r="C24" s="139"/>
      <c r="D24" s="135"/>
      <c r="E24" s="136"/>
      <c r="F24" s="178"/>
      <c r="H24" s="134" t="s">
        <v>40</v>
      </c>
      <c r="I24" s="137" t="s">
        <v>39</v>
      </c>
      <c r="J24" s="136">
        <f>-P.06!$G$11</f>
        <v>0</v>
      </c>
      <c r="K24" s="178">
        <f t="shared" si="4"/>
        <v>0</v>
      </c>
      <c r="L24" s="47"/>
    </row>
    <row r="25" spans="2:12" ht="17" x14ac:dyDescent="0.2">
      <c r="B25" s="46"/>
      <c r="C25" s="139"/>
      <c r="D25" s="135"/>
      <c r="E25" s="136"/>
      <c r="F25" s="178"/>
      <c r="H25" s="134" t="s">
        <v>41</v>
      </c>
      <c r="I25" s="137" t="s">
        <v>42</v>
      </c>
      <c r="J25" s="136">
        <f>DSP!$E$33</f>
        <v>52000</v>
      </c>
      <c r="K25" s="178">
        <f t="shared" si="4"/>
        <v>2.9262802476083285E-2</v>
      </c>
      <c r="L25" s="47"/>
    </row>
    <row r="26" spans="2:12" ht="17" x14ac:dyDescent="0.2">
      <c r="B26" s="46"/>
      <c r="C26" s="139"/>
      <c r="D26" s="135"/>
      <c r="E26" s="136"/>
      <c r="F26" s="178"/>
      <c r="H26" s="134" t="s">
        <v>43</v>
      </c>
      <c r="I26" s="143"/>
      <c r="J26" s="136">
        <f>$E$28-$J$8-$J$15-($J$23+$J$24+$J$25)</f>
        <v>118800</v>
      </c>
      <c r="K26" s="178">
        <f t="shared" si="4"/>
        <v>6.6854248733821051E-2</v>
      </c>
      <c r="L26" s="47"/>
    </row>
    <row r="27" spans="2:12" x14ac:dyDescent="0.2">
      <c r="B27" s="46"/>
      <c r="C27" s="144"/>
      <c r="D27" s="145"/>
      <c r="E27" s="146"/>
      <c r="F27" s="179"/>
      <c r="H27" s="147"/>
      <c r="I27" s="148"/>
      <c r="J27" s="146"/>
      <c r="K27" s="179"/>
      <c r="L27" s="47"/>
    </row>
    <row r="28" spans="2:12" ht="17" x14ac:dyDescent="0.2">
      <c r="B28" s="46"/>
      <c r="C28" s="131" t="s">
        <v>44</v>
      </c>
      <c r="D28" s="132"/>
      <c r="E28" s="133">
        <f>E8+E15</f>
        <v>1777000</v>
      </c>
      <c r="F28" s="177">
        <f>IF($E$28=0,0,E28/$E$28)</f>
        <v>1</v>
      </c>
      <c r="H28" s="131" t="s">
        <v>45</v>
      </c>
      <c r="I28" s="131"/>
      <c r="J28" s="133">
        <f>J8+J15+J22</f>
        <v>1777000</v>
      </c>
      <c r="K28" s="177">
        <f>IF($J$28=0,0,J28/$J$28)</f>
        <v>1</v>
      </c>
      <c r="L28" s="47"/>
    </row>
    <row r="29" spans="2:12" ht="17" thickBot="1" x14ac:dyDescent="0.25">
      <c r="B29" s="48"/>
      <c r="C29" s="49"/>
      <c r="D29" s="149"/>
      <c r="E29" s="49"/>
      <c r="F29" s="49"/>
      <c r="G29" s="49"/>
      <c r="H29" s="49"/>
      <c r="I29" s="150"/>
      <c r="J29" s="49"/>
      <c r="K29" s="49"/>
      <c r="L29" s="50"/>
    </row>
    <row r="30" spans="2:12" ht="17" thickTop="1" x14ac:dyDescent="0.2"/>
    <row r="36" spans="8:8" x14ac:dyDescent="0.2">
      <c r="H36" s="134"/>
    </row>
  </sheetData>
  <sheetProtection sheet="1" objects="1" scenarios="1"/>
  <phoneticPr fontId="5" type="noConversion"/>
  <dataValidations count="1">
    <dataValidation type="custom" allowBlank="1" showInputMessage="1" showErrorMessage="1" sqref="J28" xr:uid="{56BA3274-4AF6-4E3A-B68B-ED8FA248F91F}">
      <formula1>IF(#REF!&lt;&gt;J28,"ATIVO DIFERENTE DO PASSIVO","ATIVO IGUAL AO PASSIVO")</formula1>
    </dataValidation>
  </dataValidations>
  <hyperlinks>
    <hyperlink ref="D9" location="A.01!A1" display="A.01" xr:uid="{0655F5D7-65D2-49DC-BEE5-791775E8ABB6}"/>
    <hyperlink ref="D10" location="A.02!A1" display="A.02" xr:uid="{890C6E9F-B330-4BB9-A25C-94E19326E010}"/>
    <hyperlink ref="D12" location="A.04!A1" display="A.04" xr:uid="{27047D6D-9A6F-492B-B4CF-32F8326BE542}"/>
    <hyperlink ref="I9" location="P.01!A1" display="P.01" xr:uid="{31CE3D17-B0C5-448A-A64B-911D0943A907}"/>
    <hyperlink ref="D13" location="A.05!A1" display="A.05" xr:uid="{2A31952B-F51B-4A3E-9086-718B1768658F}"/>
    <hyperlink ref="I10" location="P.02!A1" display="P.02" xr:uid="{832C6EFC-40D9-4FFA-96A6-D708A0D60D50}"/>
    <hyperlink ref="I11" location="P.03!A1" display="P.03" xr:uid="{698392BE-B38C-4755-B403-10C626C8656C}"/>
    <hyperlink ref="I12" location="P.04!A1" display="P.04" xr:uid="{73330805-E520-44C8-8856-0D471F2983DB}"/>
    <hyperlink ref="I13" location="P.05!A1" display="P.05" xr:uid="{A86CE72D-D9AD-45F0-A02C-B58F404C5FB8}"/>
    <hyperlink ref="D11" location="A.03!A1" display="A.03" xr:uid="{9B95B7D0-E125-4DAA-A56D-DE94835D5346}"/>
    <hyperlink ref="D17" location="A.02!A1" display="A.02" xr:uid="{4E9A64D8-3B27-4CEA-8317-37A2FDDB0946}"/>
    <hyperlink ref="D18" location="A.05!A1" display="A.05" xr:uid="{CAA792AF-3669-4C42-8FAA-33B1C1AD8D28}"/>
    <hyperlink ref="D20" location="A.06!A1" display="A.06" xr:uid="{0C2D1190-9EAA-4822-BD0C-B996DF4CD98F}"/>
    <hyperlink ref="D21" location="A.07!A1" display="A.07" xr:uid="{E966F740-876C-4F8E-92A1-48D14F534E5E}"/>
    <hyperlink ref="I17" location="P.01!A1" display="P.01" xr:uid="{51A3E813-C9AB-4A67-A7C5-88CBA11E19A1}"/>
    <hyperlink ref="I18" location="P.02!A1" display="P.02" xr:uid="{CE3D1B24-CC22-4834-AFCD-83D147DCCE1D}"/>
    <hyperlink ref="I19" location="P.04!A1" display="P.04" xr:uid="{FC73F439-3E39-4474-B3A0-5D69F4E32073}"/>
    <hyperlink ref="I20" location="P.05!A1" display="P.05" xr:uid="{36746B8A-6F1E-4B14-A907-C8C892F5B4FB}"/>
    <hyperlink ref="I23" location="P.06!A1" display="P.06" xr:uid="{5D195129-C476-414F-B113-439C08204988}"/>
    <hyperlink ref="I24" location="P.06!A1" display="P.06" xr:uid="{E750ED34-22AD-428E-BB36-98C7602D5464}"/>
    <hyperlink ref="I25" location="DSP!A1" display="DSP" xr:uid="{8B3B818D-5F7A-4754-97B1-8E9C10DA2F79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68" orientation="portrait" blackAndWhite="1" r:id="rId1"/>
  <ignoredErrors>
    <ignoredError sqref="E9 E10:E13 E16:E21 J9:J13 J17:J20 J23:J26 E6 J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B54E-0850-47C9-8DF8-B6672E95AA4C}">
  <sheetPr>
    <pageSetUpPr fitToPage="1"/>
  </sheetPr>
  <dimension ref="B1:G35"/>
  <sheetViews>
    <sheetView showGridLines="0" zoomScaleNormal="100" workbookViewId="0">
      <selection activeCell="A3" sqref="A3"/>
    </sheetView>
  </sheetViews>
  <sheetFormatPr baseColWidth="10" defaultColWidth="8.83203125" defaultRowHeight="14" x14ac:dyDescent="0.15"/>
  <cols>
    <col min="1" max="1" width="8.83203125" style="151"/>
    <col min="2" max="2" width="4.6640625" style="151" customWidth="1"/>
    <col min="3" max="3" width="60.6640625" style="151" customWidth="1"/>
    <col min="4" max="4" width="6.6640625" style="152" customWidth="1"/>
    <col min="5" max="5" width="25.6640625" style="151" customWidth="1"/>
    <col min="6" max="6" width="15.6640625" style="151" customWidth="1"/>
    <col min="7" max="7" width="4.6640625" style="151" customWidth="1"/>
    <col min="8" max="16384" width="8.83203125" style="151"/>
  </cols>
  <sheetData>
    <row r="1" spans="2:7" ht="15" thickBot="1" x14ac:dyDescent="0.2"/>
    <row r="2" spans="2:7" ht="15" thickTop="1" x14ac:dyDescent="0.15">
      <c r="B2" s="153"/>
      <c r="C2" s="154"/>
      <c r="D2" s="155"/>
      <c r="E2" s="154"/>
      <c r="F2" s="154"/>
      <c r="G2" s="156"/>
    </row>
    <row r="3" spans="2:7" ht="17" x14ac:dyDescent="0.15">
      <c r="B3" s="157"/>
      <c r="C3" s="120" t="s">
        <v>46</v>
      </c>
      <c r="D3" s="158" t="s">
        <v>2</v>
      </c>
      <c r="E3" s="122">
        <f>BP!$E$2</f>
        <v>2025</v>
      </c>
      <c r="F3" s="159" t="s">
        <v>3</v>
      </c>
      <c r="G3" s="160"/>
    </row>
    <row r="4" spans="2:7" ht="16" x14ac:dyDescent="0.15">
      <c r="B4" s="157"/>
      <c r="C4" s="130"/>
      <c r="D4" s="161"/>
      <c r="E4" s="130"/>
      <c r="F4" s="162"/>
      <c r="G4" s="160"/>
    </row>
    <row r="5" spans="2:7" ht="17" x14ac:dyDescent="0.15">
      <c r="B5" s="157"/>
      <c r="C5" s="131" t="s">
        <v>47</v>
      </c>
      <c r="D5" s="163" t="s">
        <v>48</v>
      </c>
      <c r="E5" s="133">
        <f>'C.01'!G9</f>
        <v>53500</v>
      </c>
      <c r="F5" s="164">
        <f>IF($E$5=0,0,E5/$E$5)</f>
        <v>1</v>
      </c>
      <c r="G5" s="160"/>
    </row>
    <row r="6" spans="2:7" ht="5" customHeight="1" x14ac:dyDescent="0.15">
      <c r="B6" s="157"/>
      <c r="C6" s="131"/>
      <c r="D6" s="165"/>
      <c r="E6" s="133"/>
      <c r="F6" s="164"/>
      <c r="G6" s="160"/>
    </row>
    <row r="7" spans="2:7" ht="17" x14ac:dyDescent="0.15">
      <c r="B7" s="157"/>
      <c r="C7" s="134" t="s">
        <v>49</v>
      </c>
      <c r="D7" s="163" t="s">
        <v>50</v>
      </c>
      <c r="E7" s="136">
        <f>-'C.02'!$G$9</f>
        <v>0</v>
      </c>
      <c r="F7" s="166">
        <f>IF($E$5=0,0,E7/$E$5)</f>
        <v>0</v>
      </c>
      <c r="G7" s="160"/>
    </row>
    <row r="8" spans="2:7" ht="17" x14ac:dyDescent="0.15">
      <c r="B8" s="157"/>
      <c r="C8" s="134" t="s">
        <v>51</v>
      </c>
      <c r="D8" s="163" t="s">
        <v>50</v>
      </c>
      <c r="E8" s="136">
        <f>-'C.02'!$G$13</f>
        <v>-1500</v>
      </c>
      <c r="F8" s="166">
        <f>IF($E$5=0,0,E8/$E$5)</f>
        <v>-2.8037383177570093E-2</v>
      </c>
      <c r="G8" s="160"/>
    </row>
    <row r="9" spans="2:7" ht="5" customHeight="1" x14ac:dyDescent="0.15">
      <c r="B9" s="157"/>
      <c r="C9" s="134"/>
      <c r="D9" s="165"/>
      <c r="E9" s="136"/>
      <c r="F9" s="166"/>
      <c r="G9" s="160"/>
    </row>
    <row r="10" spans="2:7" ht="17" x14ac:dyDescent="0.15">
      <c r="B10" s="157"/>
      <c r="C10" s="131" t="s">
        <v>52</v>
      </c>
      <c r="D10" s="165"/>
      <c r="E10" s="133">
        <f>E5+E7+E8</f>
        <v>52000</v>
      </c>
      <c r="F10" s="164">
        <f>IF($E$5=0,0,E10/$E$5)</f>
        <v>0.9719626168224299</v>
      </c>
      <c r="G10" s="160"/>
    </row>
    <row r="11" spans="2:7" ht="5" customHeight="1" x14ac:dyDescent="0.15">
      <c r="B11" s="157"/>
      <c r="C11" s="131"/>
      <c r="D11" s="165"/>
      <c r="E11" s="133"/>
      <c r="F11" s="164"/>
      <c r="G11" s="160"/>
    </row>
    <row r="12" spans="2:7" ht="17" x14ac:dyDescent="0.15">
      <c r="B12" s="157"/>
      <c r="C12" s="131" t="s">
        <v>53</v>
      </c>
      <c r="D12" s="163" t="s">
        <v>54</v>
      </c>
      <c r="E12" s="136">
        <f>'C.03'!$I$14</f>
        <v>0</v>
      </c>
      <c r="F12" s="166">
        <f>IF($E$5=0,0,E12/$E$5)</f>
        <v>0</v>
      </c>
      <c r="G12" s="160"/>
    </row>
    <row r="13" spans="2:7" ht="5" customHeight="1" x14ac:dyDescent="0.15">
      <c r="B13" s="157"/>
      <c r="C13" s="142"/>
      <c r="D13" s="165"/>
      <c r="E13" s="136"/>
      <c r="F13" s="166"/>
      <c r="G13" s="160"/>
    </row>
    <row r="14" spans="2:7" ht="17" x14ac:dyDescent="0.15">
      <c r="B14" s="157"/>
      <c r="C14" s="131" t="s">
        <v>55</v>
      </c>
      <c r="D14" s="165"/>
      <c r="E14" s="133">
        <f>E10+E12</f>
        <v>52000</v>
      </c>
      <c r="F14" s="164">
        <f>IF($E$5=0,0,E14/$E$5)</f>
        <v>0.9719626168224299</v>
      </c>
      <c r="G14" s="160"/>
    </row>
    <row r="15" spans="2:7" ht="5" customHeight="1" x14ac:dyDescent="0.15">
      <c r="B15" s="157"/>
      <c r="C15" s="131"/>
      <c r="D15" s="165"/>
      <c r="E15" s="133"/>
      <c r="F15" s="164"/>
      <c r="G15" s="160"/>
    </row>
    <row r="16" spans="2:7" ht="17" x14ac:dyDescent="0.15">
      <c r="B16" s="157"/>
      <c r="C16" s="131" t="s">
        <v>56</v>
      </c>
      <c r="D16" s="165"/>
      <c r="E16" s="133">
        <f>SUM(E17:E22)</f>
        <v>0</v>
      </c>
      <c r="F16" s="164">
        <f>IF($E$5=0,0,E16/$E$5)</f>
        <v>0</v>
      </c>
      <c r="G16" s="160"/>
    </row>
    <row r="17" spans="2:7" ht="17" x14ac:dyDescent="0.15">
      <c r="B17" s="157"/>
      <c r="C17" s="134" t="s">
        <v>57</v>
      </c>
      <c r="D17" s="163" t="s">
        <v>58</v>
      </c>
      <c r="E17" s="136">
        <f>-'C.04'!$G$19</f>
        <v>0</v>
      </c>
      <c r="F17" s="166">
        <f t="shared" ref="F17:F22" si="0">IF($E$5=0,0,E17/$E$5)</f>
        <v>0</v>
      </c>
      <c r="G17" s="160"/>
    </row>
    <row r="18" spans="2:7" ht="17" x14ac:dyDescent="0.15">
      <c r="B18" s="157"/>
      <c r="C18" s="134" t="s">
        <v>59</v>
      </c>
      <c r="D18" s="163" t="s">
        <v>60</v>
      </c>
      <c r="E18" s="136">
        <f>-'C.05'!$G$20</f>
        <v>0</v>
      </c>
      <c r="F18" s="166">
        <f t="shared" si="0"/>
        <v>0</v>
      </c>
      <c r="G18" s="160"/>
    </row>
    <row r="19" spans="2:7" ht="17" x14ac:dyDescent="0.15">
      <c r="B19" s="157"/>
      <c r="C19" s="134" t="s">
        <v>61</v>
      </c>
      <c r="D19" s="163" t="s">
        <v>62</v>
      </c>
      <c r="E19" s="136">
        <f>-'C.06'!$G$20</f>
        <v>0</v>
      </c>
      <c r="F19" s="166">
        <f t="shared" si="0"/>
        <v>0</v>
      </c>
      <c r="G19" s="160"/>
    </row>
    <row r="20" spans="2:7" ht="17" x14ac:dyDescent="0.15">
      <c r="B20" s="157"/>
      <c r="C20" s="134" t="s">
        <v>63</v>
      </c>
      <c r="D20" s="163" t="s">
        <v>64</v>
      </c>
      <c r="E20" s="136">
        <f>-'C.07'!G14</f>
        <v>0</v>
      </c>
      <c r="F20" s="166">
        <f t="shared" si="0"/>
        <v>0</v>
      </c>
      <c r="G20" s="160"/>
    </row>
    <row r="21" spans="2:7" ht="17" x14ac:dyDescent="0.15">
      <c r="B21" s="157"/>
      <c r="C21" s="134" t="s">
        <v>65</v>
      </c>
      <c r="D21" s="163" t="s">
        <v>66</v>
      </c>
      <c r="E21" s="136">
        <f>'C.08'!$G$13</f>
        <v>0</v>
      </c>
      <c r="F21" s="166">
        <f t="shared" si="0"/>
        <v>0</v>
      </c>
      <c r="G21" s="160"/>
    </row>
    <row r="22" spans="2:7" ht="17" x14ac:dyDescent="0.15">
      <c r="B22" s="157"/>
      <c r="C22" s="134" t="s">
        <v>67</v>
      </c>
      <c r="D22" s="163" t="s">
        <v>66</v>
      </c>
      <c r="E22" s="136">
        <f>-'C.08'!$G$19</f>
        <v>0</v>
      </c>
      <c r="F22" s="166">
        <f t="shared" si="0"/>
        <v>0</v>
      </c>
      <c r="G22" s="160"/>
    </row>
    <row r="23" spans="2:7" ht="5" customHeight="1" x14ac:dyDescent="0.15">
      <c r="B23" s="157"/>
      <c r="C23" s="142"/>
      <c r="D23" s="165"/>
      <c r="E23" s="167"/>
      <c r="F23" s="166"/>
      <c r="G23" s="160"/>
    </row>
    <row r="24" spans="2:7" ht="17" x14ac:dyDescent="0.15">
      <c r="B24" s="157"/>
      <c r="C24" s="131" t="s">
        <v>68</v>
      </c>
      <c r="D24" s="165"/>
      <c r="E24" s="133">
        <f>E14+E16</f>
        <v>52000</v>
      </c>
      <c r="F24" s="164">
        <f>IF($E$5=0,0,E24/$E$5)</f>
        <v>0.9719626168224299</v>
      </c>
      <c r="G24" s="160"/>
    </row>
    <row r="25" spans="2:7" ht="5" customHeight="1" x14ac:dyDescent="0.15">
      <c r="B25" s="157"/>
      <c r="C25" s="131"/>
      <c r="D25" s="165"/>
      <c r="E25" s="133"/>
      <c r="F25" s="164"/>
      <c r="G25" s="160"/>
    </row>
    <row r="26" spans="2:7" ht="17" x14ac:dyDescent="0.15">
      <c r="B26" s="157"/>
      <c r="C26" s="142" t="s">
        <v>69</v>
      </c>
      <c r="D26" s="163" t="s">
        <v>36</v>
      </c>
      <c r="E26" s="136">
        <f>A.07!$I$20</f>
        <v>0</v>
      </c>
      <c r="F26" s="166">
        <f t="shared" ref="F26:F28" si="1">IF($E$5=0,0,E26/$E$5)</f>
        <v>0</v>
      </c>
      <c r="G26" s="160"/>
    </row>
    <row r="27" spans="2:7" ht="17" x14ac:dyDescent="0.15">
      <c r="B27" s="157"/>
      <c r="C27" s="142" t="s">
        <v>70</v>
      </c>
      <c r="D27" s="163" t="s">
        <v>71</v>
      </c>
      <c r="E27" s="136">
        <f>'C.09'!$G$14</f>
        <v>0</v>
      </c>
      <c r="F27" s="166">
        <f t="shared" si="1"/>
        <v>0</v>
      </c>
      <c r="G27" s="160"/>
    </row>
    <row r="28" spans="2:7" ht="17" x14ac:dyDescent="0.15">
      <c r="B28" s="157"/>
      <c r="C28" s="142" t="s">
        <v>72</v>
      </c>
      <c r="D28" s="163" t="s">
        <v>71</v>
      </c>
      <c r="E28" s="136">
        <f>-'C.09'!$G$22</f>
        <v>0</v>
      </c>
      <c r="F28" s="166">
        <f t="shared" si="1"/>
        <v>0</v>
      </c>
      <c r="G28" s="160"/>
    </row>
    <row r="29" spans="2:7" ht="5" customHeight="1" x14ac:dyDescent="0.15">
      <c r="B29" s="157"/>
      <c r="C29" s="142"/>
      <c r="D29" s="165"/>
      <c r="E29" s="136"/>
      <c r="F29" s="166"/>
      <c r="G29" s="160"/>
    </row>
    <row r="30" spans="2:7" ht="17" x14ac:dyDescent="0.15">
      <c r="B30" s="157"/>
      <c r="C30" s="131" t="s">
        <v>73</v>
      </c>
      <c r="D30" s="165"/>
      <c r="E30" s="133">
        <f>SUM(E24:E28)</f>
        <v>52000</v>
      </c>
      <c r="F30" s="164">
        <f>IF($E$5=0,0,E30/$E$5)</f>
        <v>0.9719626168224299</v>
      </c>
      <c r="G30" s="160"/>
    </row>
    <row r="31" spans="2:7" ht="17" x14ac:dyDescent="0.15">
      <c r="B31" s="157"/>
      <c r="C31" s="142" t="s">
        <v>74</v>
      </c>
      <c r="D31" s="163" t="s">
        <v>75</v>
      </c>
      <c r="E31" s="136">
        <f>-'C.10'!$G$13</f>
        <v>0</v>
      </c>
      <c r="F31" s="166">
        <f>IF($E$5=0,0,E31/$E$5)</f>
        <v>0</v>
      </c>
      <c r="G31" s="160"/>
    </row>
    <row r="32" spans="2:7" ht="5" customHeight="1" x14ac:dyDescent="0.15">
      <c r="B32" s="157"/>
      <c r="C32" s="147"/>
      <c r="D32" s="168"/>
      <c r="E32" s="169"/>
      <c r="F32" s="170"/>
      <c r="G32" s="160"/>
    </row>
    <row r="33" spans="2:7" ht="17" x14ac:dyDescent="0.15">
      <c r="B33" s="157"/>
      <c r="C33" s="131" t="s">
        <v>76</v>
      </c>
      <c r="D33" s="161"/>
      <c r="E33" s="171">
        <f>E30+E31</f>
        <v>52000</v>
      </c>
      <c r="F33" s="164">
        <f>IF($E$5=0,0,E33/$E$5)</f>
        <v>0.9719626168224299</v>
      </c>
      <c r="G33" s="160"/>
    </row>
    <row r="34" spans="2:7" ht="15" thickBot="1" x14ac:dyDescent="0.2">
      <c r="B34" s="172"/>
      <c r="C34" s="173"/>
      <c r="D34" s="174"/>
      <c r="E34" s="173"/>
      <c r="F34" s="173"/>
      <c r="G34" s="175"/>
    </row>
    <row r="35" spans="2:7" ht="15" thickTop="1" x14ac:dyDescent="0.15"/>
  </sheetData>
  <sheetProtection sheet="1" objects="1" scenarios="1"/>
  <hyperlinks>
    <hyperlink ref="D5" location="C.01!A1" display="C.01" xr:uid="{C4DADF96-4AB8-48C8-B681-E6DDC376F44F}"/>
    <hyperlink ref="D7" location="C.02!A1" display="C.02" xr:uid="{CD7AF50B-C1F2-4BB0-86C1-5200AEA5DEC1}"/>
    <hyperlink ref="D8" location="C.02!A1" display="C.02" xr:uid="{800500C0-5BAE-4F49-89D4-A93D7FE0877C}"/>
    <hyperlink ref="D12" location="C.03!A1" display="C.03" xr:uid="{333863E4-0BAC-4456-9FEF-AB913627BA09}"/>
    <hyperlink ref="D17" location="C.04!A1" display="C.04" xr:uid="{6E050B18-081E-48AC-8A95-10F416CCA22A}"/>
    <hyperlink ref="D18" location="C.05!A1" display="C.05" xr:uid="{D8FC9C0A-ED88-4EBE-B0CE-28A015A8B647}"/>
    <hyperlink ref="D19" location="C.06!A1" display="C.06" xr:uid="{AD60530C-27FD-4B4D-AA0D-ABCAB40C5AE8}"/>
    <hyperlink ref="D20" location="C.07!A1" display="C.07" xr:uid="{E0F05E2D-6A9F-49E1-83A8-944631F38587}"/>
    <hyperlink ref="D21" location="C.08!A1" display="C.08" xr:uid="{0D678418-9A9B-424A-B164-1EA486D9C055}"/>
    <hyperlink ref="D22" location="C.08!A1" display="C.08" xr:uid="{431A8A94-667B-4E63-B1FB-73F33C27AF76}"/>
    <hyperlink ref="D27" location="C.09!A1" display="C.09" xr:uid="{9D1A7526-5C01-47FD-B513-D7E9C1686C2C}"/>
    <hyperlink ref="D28" location="C.09!A1" display="C.09" xr:uid="{B8E84D06-5DC5-413B-998A-34A22920D13A}"/>
    <hyperlink ref="D31" location="C.10!A1" display="C.10" xr:uid="{ED2786F6-3A72-4E12-BA7C-C0F5CB176F30}"/>
    <hyperlink ref="D26" location="A.07!A1" display="A.07" xr:uid="{2F62F9D7-B9DD-47F7-AF4E-35218D5FF3CA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9" orientation="portrait" blackAndWhite="1" r:id="rId1"/>
  <ignoredErrors>
    <ignoredError sqref="E3 E5:E3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1FDC-B401-4730-A037-34113EB3DAB7}">
  <sheetPr>
    <pageSetUpPr fitToPage="1"/>
  </sheetPr>
  <dimension ref="B1:K44"/>
  <sheetViews>
    <sheetView showGridLines="0" tabSelected="1" workbookViewId="0">
      <selection activeCell="D9" sqref="D9"/>
    </sheetView>
  </sheetViews>
  <sheetFormatPr baseColWidth="10" defaultColWidth="9.1640625" defaultRowHeight="16" x14ac:dyDescent="0.2"/>
  <cols>
    <col min="1" max="1" width="9.1640625" style="181"/>
    <col min="2" max="2" width="4.6640625" style="181" customWidth="1"/>
    <col min="3" max="3" width="50.6640625" style="181" customWidth="1"/>
    <col min="4" max="4" width="15.6640625" style="181" customWidth="1"/>
    <col min="5" max="5" width="9.1640625" style="181"/>
    <col min="6" max="6" width="50.6640625" style="181" customWidth="1"/>
    <col min="7" max="7" width="15.6640625" style="181" customWidth="1"/>
    <col min="8" max="8" width="4.6640625" style="181" customWidth="1"/>
    <col min="9" max="9" width="9.1640625" style="181"/>
    <col min="10" max="11" width="12.33203125" style="181" bestFit="1" customWidth="1"/>
    <col min="12" max="16384" width="9.1640625" style="181"/>
  </cols>
  <sheetData>
    <row r="1" spans="2:8" ht="17" thickBot="1" x14ac:dyDescent="0.25"/>
    <row r="2" spans="2:8" ht="17" thickTop="1" x14ac:dyDescent="0.2">
      <c r="B2" s="182"/>
      <c r="C2" s="183"/>
      <c r="D2" s="183"/>
      <c r="E2" s="183"/>
      <c r="F2" s="183"/>
      <c r="G2" s="183"/>
      <c r="H2" s="184"/>
    </row>
    <row r="3" spans="2:8" ht="19" x14ac:dyDescent="0.2">
      <c r="B3" s="185"/>
      <c r="C3" s="186" t="s">
        <v>77</v>
      </c>
      <c r="H3" s="187"/>
    </row>
    <row r="4" spans="2:8" x14ac:dyDescent="0.2">
      <c r="B4" s="185"/>
      <c r="H4" s="187"/>
    </row>
    <row r="5" spans="2:8" x14ac:dyDescent="0.2">
      <c r="B5" s="185"/>
      <c r="H5" s="187"/>
    </row>
    <row r="6" spans="2:8" ht="19" x14ac:dyDescent="0.2">
      <c r="B6" s="185"/>
      <c r="C6" s="186" t="s">
        <v>78</v>
      </c>
      <c r="F6" s="186" t="s">
        <v>79</v>
      </c>
      <c r="H6" s="187"/>
    </row>
    <row r="7" spans="2:8" ht="19" x14ac:dyDescent="0.2">
      <c r="B7" s="185"/>
      <c r="C7" s="188"/>
      <c r="D7" s="189"/>
      <c r="G7" s="189"/>
      <c r="H7" s="187"/>
    </row>
    <row r="8" spans="2:8" x14ac:dyDescent="0.2">
      <c r="B8" s="185"/>
      <c r="C8" s="190"/>
      <c r="D8" s="191">
        <f>BP!$E$2</f>
        <v>2025</v>
      </c>
      <c r="F8" s="190"/>
      <c r="G8" s="191">
        <f>BP!$E$2</f>
        <v>2025</v>
      </c>
      <c r="H8" s="187"/>
    </row>
    <row r="9" spans="2:8" ht="17" x14ac:dyDescent="0.2">
      <c r="B9" s="185"/>
      <c r="C9" s="192" t="s">
        <v>80</v>
      </c>
      <c r="D9" s="193">
        <f>IFERROR((BP!$E$8+BP!$E$16)/(BP!$J$8+BP!$J$15),0)</f>
        <v>0.91484360875067805</v>
      </c>
      <c r="F9" s="192" t="s">
        <v>81</v>
      </c>
      <c r="G9" s="193">
        <f>IFERROR((BP!$J$10+BP!$J$18-BP!$E$9)/DSP!$E$24,0)</f>
        <v>-3.75</v>
      </c>
      <c r="H9" s="187"/>
    </row>
    <row r="10" spans="2:8" ht="17" x14ac:dyDescent="0.2">
      <c r="B10" s="185"/>
      <c r="C10" s="192" t="s">
        <v>82</v>
      </c>
      <c r="D10" s="193">
        <f>IFERROR((BP!$E$8)/(BP!$J$8),0)</f>
        <v>1.4747886913436317</v>
      </c>
      <c r="F10" s="192" t="s">
        <v>83</v>
      </c>
      <c r="G10" s="194">
        <f>IFERROR(((BP!$J$8-BP!$J$10)+(BP!$J$15-BP!$J$18))/BP!$E$28,0)</f>
        <v>0.54653911086100171</v>
      </c>
      <c r="H10" s="187"/>
    </row>
    <row r="11" spans="2:8" ht="17" x14ac:dyDescent="0.2">
      <c r="B11" s="185"/>
      <c r="C11" s="192" t="s">
        <v>84</v>
      </c>
      <c r="D11" s="193">
        <f>IFERROR((BP!$E$8-BP!$E$12)/(BP!$J$8),0)</f>
        <v>0.85543573302244247</v>
      </c>
      <c r="F11" s="192" t="s">
        <v>85</v>
      </c>
      <c r="G11" s="194">
        <f>IFERROR((BP!$J$10+BP!$J$18)/BP!$E$28,0)</f>
        <v>7.597073719752391E-2</v>
      </c>
      <c r="H11" s="187"/>
    </row>
    <row r="12" spans="2:8" ht="17" x14ac:dyDescent="0.2">
      <c r="B12" s="185"/>
      <c r="C12" s="192" t="s">
        <v>86</v>
      </c>
      <c r="D12" s="193">
        <f>IFERROR((BP!$E$28)/(BP!$J$8+BP!$J$15),0)</f>
        <v>1.6064002892786116</v>
      </c>
      <c r="F12" s="192" t="s">
        <v>87</v>
      </c>
      <c r="G12" s="194">
        <f>IFERROR(BP!$J$18/BP!$E$28,0)</f>
        <v>2.2509848058525603E-2</v>
      </c>
      <c r="H12" s="187"/>
    </row>
    <row r="13" spans="2:8" ht="17" x14ac:dyDescent="0.2">
      <c r="B13" s="185"/>
      <c r="C13" s="192" t="s">
        <v>88</v>
      </c>
      <c r="D13" s="193">
        <f>IFERROR(BP!$E$19/BP!$J$22,0)</f>
        <v>1.1404293381037567</v>
      </c>
      <c r="F13" s="192" t="s">
        <v>89</v>
      </c>
      <c r="G13" s="194">
        <f>IFERROR(BP!$J$15/BP!$E$28,0)</f>
        <v>0.23635340461451884</v>
      </c>
      <c r="H13" s="187"/>
    </row>
    <row r="14" spans="2:8" ht="17" x14ac:dyDescent="0.2">
      <c r="B14" s="185"/>
      <c r="C14" s="192" t="s">
        <v>90</v>
      </c>
      <c r="D14" s="194">
        <f>IFERROR(BP!$E$19/BP!$J$22,0)</f>
        <v>1.1404293381037567</v>
      </c>
      <c r="F14" s="192" t="s">
        <v>91</v>
      </c>
      <c r="G14" s="194">
        <f>IFERROR((BP!$J$8+BP!$J$15)/BP!$E$28,0)</f>
        <v>0.62250984805852561</v>
      </c>
      <c r="H14" s="187"/>
    </row>
    <row r="15" spans="2:8" ht="17" x14ac:dyDescent="0.2">
      <c r="B15" s="185"/>
      <c r="C15" s="192" t="s">
        <v>68</v>
      </c>
      <c r="D15" s="195">
        <f>DSP!$E$24</f>
        <v>52000</v>
      </c>
      <c r="F15" s="192" t="s">
        <v>92</v>
      </c>
      <c r="G15" s="194">
        <f>IFERROR(BP!$J$8/(BP!$J$8+BP!$J$15),0)</f>
        <v>0.62032182245525225</v>
      </c>
      <c r="H15" s="187"/>
    </row>
    <row r="16" spans="2:8" ht="17" x14ac:dyDescent="0.2">
      <c r="B16" s="185"/>
      <c r="C16" s="192" t="s">
        <v>93</v>
      </c>
      <c r="D16" s="196">
        <f>IFERROR(-(A.02!$G$31/A.02!$G$29),0)</f>
        <v>0</v>
      </c>
      <c r="H16" s="187"/>
    </row>
    <row r="17" spans="2:11" x14ac:dyDescent="0.2">
      <c r="B17" s="185"/>
      <c r="H17" s="187"/>
    </row>
    <row r="18" spans="2:11" x14ac:dyDescent="0.2">
      <c r="B18" s="185"/>
      <c r="H18" s="187"/>
    </row>
    <row r="19" spans="2:11" ht="19" x14ac:dyDescent="0.2">
      <c r="B19" s="185"/>
      <c r="C19" s="186" t="s">
        <v>94</v>
      </c>
      <c r="F19" s="186" t="s">
        <v>95</v>
      </c>
      <c r="H19" s="187"/>
    </row>
    <row r="20" spans="2:11" x14ac:dyDescent="0.2">
      <c r="B20" s="185"/>
      <c r="D20" s="189"/>
      <c r="G20" s="189"/>
      <c r="H20" s="187"/>
    </row>
    <row r="21" spans="2:11" x14ac:dyDescent="0.2">
      <c r="B21" s="185"/>
      <c r="C21" s="190"/>
      <c r="D21" s="191">
        <f>BP!$E$2</f>
        <v>2025</v>
      </c>
      <c r="F21" s="190"/>
      <c r="G21" s="191">
        <f>BP!$E$2</f>
        <v>2025</v>
      </c>
      <c r="H21" s="187"/>
    </row>
    <row r="22" spans="2:11" ht="17" x14ac:dyDescent="0.2">
      <c r="B22" s="185"/>
      <c r="C22" s="192" t="s">
        <v>96</v>
      </c>
      <c r="D22" s="194">
        <f>IFERROR(DSP!$E$33/(BP!$J$23+BP!$J$24),0)</f>
        <v>0.104</v>
      </c>
      <c r="F22" s="192" t="s">
        <v>97</v>
      </c>
      <c r="G22" s="195">
        <f>IFERROR(BP!$E$12/-DSP!$E$12*360,0)</f>
        <v>0</v>
      </c>
      <c r="H22" s="187"/>
    </row>
    <row r="23" spans="2:11" ht="17" x14ac:dyDescent="0.2">
      <c r="B23" s="185"/>
      <c r="C23" s="192" t="s">
        <v>98</v>
      </c>
      <c r="D23" s="194">
        <f>IFERROR(DSP!$E$33/DSP!$E$10,0)</f>
        <v>1</v>
      </c>
      <c r="F23" s="192" t="s">
        <v>99</v>
      </c>
      <c r="G23" s="195">
        <f>IFERROR((BP!$E$10+BP!$E$13)/DSP!$E$10*360,0)</f>
        <v>1433.0769230769231</v>
      </c>
      <c r="H23" s="187"/>
    </row>
    <row r="24" spans="2:11" ht="17" x14ac:dyDescent="0.2">
      <c r="B24" s="185"/>
      <c r="C24" s="192" t="s">
        <v>100</v>
      </c>
      <c r="D24" s="194">
        <f>IFERROR(DSP!$E$33/BP!$J$22,0)</f>
        <v>7.7519379844961239E-2</v>
      </c>
      <c r="F24" s="192" t="s">
        <v>101</v>
      </c>
      <c r="G24" s="195">
        <f>IFERROR((BP!$J$8-BP!$J$10)/(DSP!$E$12+DSP!E16+DSP!$E$26)*360,0)</f>
        <v>0</v>
      </c>
      <c r="H24" s="187"/>
      <c r="J24" s="197"/>
      <c r="K24" s="197"/>
    </row>
    <row r="25" spans="2:11" ht="17" x14ac:dyDescent="0.2">
      <c r="B25" s="185"/>
      <c r="C25" s="192" t="s">
        <v>102</v>
      </c>
      <c r="D25" s="194">
        <f>IFERROR(DSP!$E$33/BP!$E$28,0)</f>
        <v>2.9262802476083285E-2</v>
      </c>
      <c r="F25" s="192" t="s">
        <v>103</v>
      </c>
      <c r="G25" s="195">
        <f>G22+G23</f>
        <v>1433.0769230769231</v>
      </c>
      <c r="H25" s="187"/>
    </row>
    <row r="26" spans="2:11" ht="17" x14ac:dyDescent="0.2">
      <c r="B26" s="185"/>
      <c r="F26" s="192" t="s">
        <v>104</v>
      </c>
      <c r="G26" s="195">
        <f>G25-G24</f>
        <v>1433.0769230769231</v>
      </c>
      <c r="H26" s="187"/>
    </row>
    <row r="27" spans="2:11" ht="17" x14ac:dyDescent="0.2">
      <c r="B27" s="185"/>
      <c r="F27" s="192" t="s">
        <v>105</v>
      </c>
      <c r="G27" s="193">
        <f>IFERROR(DSP!$E$10/BP!$E$28,0)</f>
        <v>2.9262802476083285E-2</v>
      </c>
      <c r="H27" s="187"/>
    </row>
    <row r="28" spans="2:11" ht="19" x14ac:dyDescent="0.2">
      <c r="B28" s="185"/>
      <c r="C28" s="186" t="s">
        <v>106</v>
      </c>
      <c r="F28" s="192" t="s">
        <v>107</v>
      </c>
      <c r="G28" s="193">
        <f>IFERROR(DSP!$E$10/BP!$E$19,0)</f>
        <v>6.7973856209150321E-2</v>
      </c>
      <c r="H28" s="187"/>
    </row>
    <row r="29" spans="2:11" x14ac:dyDescent="0.2">
      <c r="B29" s="185"/>
      <c r="D29" s="189"/>
      <c r="H29" s="187"/>
    </row>
    <row r="30" spans="2:11" x14ac:dyDescent="0.2">
      <c r="B30" s="185"/>
      <c r="C30" s="190"/>
      <c r="D30" s="191">
        <f>D8</f>
        <v>2025</v>
      </c>
      <c r="H30" s="187"/>
    </row>
    <row r="31" spans="2:11" ht="17" x14ac:dyDescent="0.2">
      <c r="B31" s="185"/>
      <c r="C31" s="192" t="s">
        <v>108</v>
      </c>
      <c r="D31" s="198">
        <f>IFERROR((BP!$E$8-BP!$J$8),0)</f>
        <v>325800</v>
      </c>
      <c r="H31" s="187"/>
    </row>
    <row r="32" spans="2:11" ht="17" x14ac:dyDescent="0.2">
      <c r="B32" s="185"/>
      <c r="C32" s="192" t="s">
        <v>109</v>
      </c>
      <c r="D32" s="199">
        <f>IFERROR((BP!$E$8-BP!$J$8)/DSP!$E$10,0)</f>
        <v>6.2653846153846153</v>
      </c>
      <c r="H32" s="187"/>
    </row>
    <row r="33" spans="2:8" ht="17" x14ac:dyDescent="0.2">
      <c r="B33" s="185"/>
      <c r="C33" s="192" t="s">
        <v>110</v>
      </c>
      <c r="D33" s="199">
        <f>IFERROR((BP!$E$8-BP!$J$8)/BP!$E$28,0)</f>
        <v>0.18334271243669106</v>
      </c>
      <c r="H33" s="187"/>
    </row>
    <row r="34" spans="2:8" ht="17" x14ac:dyDescent="0.2">
      <c r="B34" s="185"/>
      <c r="C34" s="192" t="s">
        <v>111</v>
      </c>
      <c r="D34" s="199">
        <f>IFERROR((BP!$J$22-BP!$E$15)/BP!$E$28,0)</f>
        <v>-5.3010692177827799E-2</v>
      </c>
      <c r="H34" s="187"/>
    </row>
    <row r="35" spans="2:8" ht="17" x14ac:dyDescent="0.2">
      <c r="B35" s="185"/>
      <c r="C35" s="192" t="s">
        <v>112</v>
      </c>
      <c r="D35" s="198">
        <f>IFERROR((BP!$E$8-BP!$E$9)-(BP!$J$8-BP!$J$10),0)</f>
        <v>90800</v>
      </c>
      <c r="H35" s="187"/>
    </row>
    <row r="36" spans="2:8" ht="17" x14ac:dyDescent="0.2">
      <c r="B36" s="185"/>
      <c r="C36" s="192" t="s">
        <v>113</v>
      </c>
      <c r="D36" s="199">
        <f>IFERROR($D$35/DSP!$E$10,0)</f>
        <v>1.7461538461538462</v>
      </c>
      <c r="H36" s="187"/>
    </row>
    <row r="37" spans="2:8" ht="17" x14ac:dyDescent="0.2">
      <c r="B37" s="185"/>
      <c r="C37" s="192" t="s">
        <v>114</v>
      </c>
      <c r="D37" s="199">
        <f>IFERROR($D$35/BP!$E$28,0)</f>
        <v>5.1097355092853125E-2</v>
      </c>
      <c r="H37" s="187"/>
    </row>
    <row r="38" spans="2:8" ht="17" x14ac:dyDescent="0.2">
      <c r="B38" s="185"/>
      <c r="C38" s="192" t="s">
        <v>115</v>
      </c>
      <c r="D38" s="198">
        <f>IFERROR((BP!$E$9-BP!$J$10),0)</f>
        <v>235000</v>
      </c>
      <c r="H38" s="187"/>
    </row>
    <row r="39" spans="2:8" ht="17" x14ac:dyDescent="0.2">
      <c r="B39" s="185"/>
      <c r="C39" s="192" t="s">
        <v>116</v>
      </c>
      <c r="D39" s="199">
        <f>IFERROR($D$38/DSP!$E$10,0)</f>
        <v>4.5192307692307692</v>
      </c>
      <c r="H39" s="187"/>
    </row>
    <row r="40" spans="2:8" ht="17" x14ac:dyDescent="0.2">
      <c r="B40" s="185"/>
      <c r="C40" s="192" t="s">
        <v>117</v>
      </c>
      <c r="D40" s="199">
        <f>IFERROR($D$38/BP!$E$28,0)</f>
        <v>0.13224535734383794</v>
      </c>
      <c r="H40" s="187"/>
    </row>
    <row r="41" spans="2:8" ht="17" x14ac:dyDescent="0.2">
      <c r="B41" s="185"/>
      <c r="C41" s="192" t="s">
        <v>118</v>
      </c>
      <c r="D41" s="200">
        <f>IFERROR(BP!$J$22/BP!$E$28,0)</f>
        <v>0.37749015194147439</v>
      </c>
      <c r="H41" s="187"/>
    </row>
    <row r="42" spans="2:8" ht="17" x14ac:dyDescent="0.2">
      <c r="B42" s="185"/>
      <c r="C42" s="192" t="s">
        <v>119</v>
      </c>
      <c r="D42" s="200">
        <f>IFERROR($D$31/$D$35,0)</f>
        <v>3.5881057268722465</v>
      </c>
      <c r="H42" s="187"/>
    </row>
    <row r="43" spans="2:8" ht="17" thickBot="1" x14ac:dyDescent="0.25">
      <c r="B43" s="201"/>
      <c r="C43" s="202"/>
      <c r="D43" s="202"/>
      <c r="E43" s="202"/>
      <c r="F43" s="202"/>
      <c r="G43" s="202"/>
      <c r="H43" s="203"/>
    </row>
    <row r="44" spans="2:8" ht="17" thickTop="1" x14ac:dyDescent="0.2"/>
  </sheetData>
  <pageMargins left="0.51181102362204722" right="0.51181102362204722" top="0.78740157480314965" bottom="0.78740157480314965" header="0.31496062992125984" footer="0.31496062992125984"/>
  <pageSetup paperSize="9" scale="5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8E0C-CF55-408B-836F-1477009FE161}">
  <sheetPr>
    <pageSetUpPr fitToPage="1"/>
  </sheetPr>
  <dimension ref="B2:J32"/>
  <sheetViews>
    <sheetView showGridLines="0" topLeftCell="A3" zoomScaleNormal="100" workbookViewId="0">
      <selection activeCell="G24" sqref="G24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3"/>
      <c r="D2" s="3"/>
    </row>
    <row r="3" spans="2:10" ht="17" thickBot="1" x14ac:dyDescent="0.25"/>
    <row r="4" spans="2:10" ht="17" thickTop="1" x14ac:dyDescent="0.2">
      <c r="C4" s="5"/>
      <c r="D4" s="6"/>
      <c r="E4" s="6"/>
      <c r="F4" s="6"/>
      <c r="G4" s="6"/>
      <c r="H4" s="6"/>
      <c r="I4" s="6"/>
      <c r="J4" s="7"/>
    </row>
    <row r="5" spans="2:10" ht="18" x14ac:dyDescent="0.2">
      <c r="C5" s="8"/>
      <c r="D5" s="104" t="s">
        <v>7</v>
      </c>
      <c r="E5" s="10" t="s">
        <v>121</v>
      </c>
      <c r="F5" s="11"/>
      <c r="I5" s="11"/>
      <c r="J5" s="12"/>
    </row>
    <row r="6" spans="2:10" x14ac:dyDescent="0.2">
      <c r="C6" s="8"/>
      <c r="E6" s="103" t="s">
        <v>122</v>
      </c>
      <c r="F6" s="13"/>
      <c r="G6" s="14"/>
      <c r="H6" s="14"/>
      <c r="I6" s="13"/>
      <c r="J6" s="12"/>
    </row>
    <row r="7" spans="2:10" x14ac:dyDescent="0.2">
      <c r="C7" s="8"/>
      <c r="E7" s="14"/>
      <c r="F7" s="14"/>
      <c r="G7" s="41">
        <f>BP!$E$2</f>
        <v>2025</v>
      </c>
      <c r="H7" s="16"/>
      <c r="I7" s="42" t="s">
        <v>123</v>
      </c>
      <c r="J7" s="12"/>
    </row>
    <row r="8" spans="2:10" x14ac:dyDescent="0.2">
      <c r="C8" s="8"/>
      <c r="E8" s="14"/>
      <c r="F8" s="14"/>
      <c r="G8" s="16"/>
      <c r="H8" s="16"/>
      <c r="I8" s="14"/>
      <c r="J8" s="12"/>
    </row>
    <row r="9" spans="2:10" ht="15.5" customHeight="1" x14ac:dyDescent="0.2">
      <c r="C9" s="8"/>
      <c r="D9" s="18"/>
      <c r="E9" s="19" t="s">
        <v>124</v>
      </c>
      <c r="F9" s="19"/>
      <c r="G9" s="20">
        <f>SUM($G$11:$G$11)</f>
        <v>100000</v>
      </c>
      <c r="H9" s="21"/>
      <c r="I9" s="204" t="s">
        <v>125</v>
      </c>
      <c r="J9" s="12"/>
    </row>
    <row r="10" spans="2:10" ht="5" customHeight="1" x14ac:dyDescent="0.2">
      <c r="C10" s="8"/>
      <c r="D10" s="22"/>
      <c r="E10" s="19"/>
      <c r="F10" s="19"/>
      <c r="G10" s="23"/>
      <c r="H10" s="21"/>
      <c r="I10" s="204"/>
      <c r="J10" s="12"/>
    </row>
    <row r="11" spans="2:10" ht="17" x14ac:dyDescent="0.2">
      <c r="C11" s="8"/>
      <c r="D11" s="22"/>
      <c r="E11" s="24" t="s">
        <v>126</v>
      </c>
      <c r="F11" s="25"/>
      <c r="G11" s="101">
        <v>100000</v>
      </c>
      <c r="H11" s="21"/>
      <c r="I11" s="204"/>
      <c r="J11" s="12"/>
    </row>
    <row r="12" spans="2:10" x14ac:dyDescent="0.2">
      <c r="C12" s="8"/>
      <c r="D12" s="22"/>
      <c r="E12" s="19"/>
      <c r="F12" s="19"/>
      <c r="G12" s="23"/>
      <c r="H12" s="21"/>
      <c r="I12" s="26"/>
      <c r="J12" s="12"/>
    </row>
    <row r="13" spans="2:10" ht="15.5" customHeight="1" x14ac:dyDescent="0.2">
      <c r="C13" s="8"/>
      <c r="D13" s="11"/>
      <c r="E13" s="19" t="s">
        <v>127</v>
      </c>
      <c r="F13" s="25"/>
      <c r="G13" s="20">
        <f>SUM(G15:G19)</f>
        <v>80000</v>
      </c>
      <c r="H13" s="27"/>
      <c r="I13" s="204" t="s">
        <v>128</v>
      </c>
      <c r="J13" s="12"/>
    </row>
    <row r="14" spans="2:10" ht="5" customHeight="1" x14ac:dyDescent="0.2">
      <c r="C14" s="8"/>
      <c r="E14" s="19"/>
      <c r="F14" s="25"/>
      <c r="G14" s="28"/>
      <c r="H14" s="27"/>
      <c r="I14" s="204"/>
      <c r="J14" s="12"/>
    </row>
    <row r="15" spans="2:10" ht="15" customHeight="1" x14ac:dyDescent="0.2">
      <c r="C15" s="8"/>
      <c r="E15" s="101" t="s">
        <v>129</v>
      </c>
      <c r="F15" s="25"/>
      <c r="G15" s="101">
        <v>50000</v>
      </c>
      <c r="H15" s="27"/>
      <c r="I15" s="204"/>
      <c r="J15" s="12"/>
    </row>
    <row r="16" spans="2:10" ht="15" customHeight="1" x14ac:dyDescent="0.2">
      <c r="C16" s="8"/>
      <c r="E16" s="102" t="s">
        <v>130</v>
      </c>
      <c r="F16" s="25"/>
      <c r="G16" s="102">
        <v>30000</v>
      </c>
      <c r="H16" s="27"/>
      <c r="I16" s="204"/>
      <c r="J16" s="12"/>
    </row>
    <row r="17" spans="3:10" ht="15" customHeight="1" x14ac:dyDescent="0.2">
      <c r="C17" s="8"/>
      <c r="E17" s="101" t="s">
        <v>131</v>
      </c>
      <c r="F17" s="25"/>
      <c r="G17" s="101">
        <v>0</v>
      </c>
      <c r="H17" s="27"/>
      <c r="I17" s="204"/>
      <c r="J17" s="12"/>
    </row>
    <row r="18" spans="3:10" ht="15" customHeight="1" x14ac:dyDescent="0.2">
      <c r="C18" s="8"/>
      <c r="E18" s="102" t="s">
        <v>132</v>
      </c>
      <c r="F18" s="25"/>
      <c r="G18" s="102">
        <v>0</v>
      </c>
      <c r="H18" s="27"/>
      <c r="I18" s="204"/>
      <c r="J18" s="12"/>
    </row>
    <row r="19" spans="3:10" ht="17" x14ac:dyDescent="0.2">
      <c r="C19" s="8"/>
      <c r="E19" s="24" t="s">
        <v>133</v>
      </c>
      <c r="F19" s="19"/>
      <c r="G19" s="101">
        <v>0</v>
      </c>
      <c r="H19" s="30"/>
      <c r="I19" s="204"/>
      <c r="J19" s="12"/>
    </row>
    <row r="20" spans="3:10" x14ac:dyDescent="0.2">
      <c r="C20" s="8"/>
      <c r="E20" s="25"/>
      <c r="F20" s="25"/>
      <c r="G20" s="31"/>
      <c r="H20" s="31"/>
      <c r="I20" s="32"/>
      <c r="J20" s="12"/>
    </row>
    <row r="21" spans="3:10" x14ac:dyDescent="0.2">
      <c r="C21" s="8"/>
      <c r="D21" s="11"/>
      <c r="E21" s="19" t="s">
        <v>134</v>
      </c>
      <c r="F21" s="25"/>
      <c r="G21" s="20">
        <f>SUM(G23:G27)</f>
        <v>150000</v>
      </c>
      <c r="H21" s="31"/>
      <c r="I21" s="204" t="s">
        <v>135</v>
      </c>
      <c r="J21" s="12"/>
    </row>
    <row r="22" spans="3:10" ht="5" customHeight="1" x14ac:dyDescent="0.2">
      <c r="C22" s="8"/>
      <c r="E22" s="19"/>
      <c r="F22" s="25"/>
      <c r="G22" s="28"/>
      <c r="H22" s="31"/>
      <c r="I22" s="204"/>
      <c r="J22" s="12"/>
    </row>
    <row r="23" spans="3:10" ht="17" x14ac:dyDescent="0.2">
      <c r="C23" s="8"/>
      <c r="E23" s="101" t="s">
        <v>129</v>
      </c>
      <c r="F23" s="25"/>
      <c r="G23" s="101">
        <v>150000</v>
      </c>
      <c r="H23" s="27"/>
      <c r="I23" s="204"/>
      <c r="J23" s="12"/>
    </row>
    <row r="24" spans="3:10" ht="17" x14ac:dyDescent="0.2">
      <c r="C24" s="8"/>
      <c r="E24" s="102" t="s">
        <v>130</v>
      </c>
      <c r="F24" s="25"/>
      <c r="G24" s="102">
        <v>0</v>
      </c>
      <c r="H24" s="27"/>
      <c r="I24" s="204"/>
      <c r="J24" s="12"/>
    </row>
    <row r="25" spans="3:10" ht="17" x14ac:dyDescent="0.2">
      <c r="C25" s="8"/>
      <c r="E25" s="101" t="s">
        <v>131</v>
      </c>
      <c r="F25" s="25"/>
      <c r="G25" s="101">
        <v>0</v>
      </c>
      <c r="H25" s="27"/>
      <c r="I25" s="204"/>
      <c r="J25" s="12"/>
    </row>
    <row r="26" spans="3:10" ht="17" x14ac:dyDescent="0.2">
      <c r="C26" s="8"/>
      <c r="E26" s="102" t="s">
        <v>132</v>
      </c>
      <c r="F26" s="25"/>
      <c r="G26" s="102">
        <v>0</v>
      </c>
      <c r="H26" s="27"/>
      <c r="I26" s="204"/>
      <c r="J26" s="12"/>
    </row>
    <row r="27" spans="3:10" ht="17" x14ac:dyDescent="0.2">
      <c r="C27" s="8"/>
      <c r="E27" s="24" t="s">
        <v>133</v>
      </c>
      <c r="F27" s="19"/>
      <c r="G27" s="101">
        <v>0</v>
      </c>
      <c r="H27" s="30"/>
      <c r="I27" s="204"/>
      <c r="J27" s="12"/>
    </row>
    <row r="28" spans="3:10" x14ac:dyDescent="0.2">
      <c r="C28" s="8"/>
      <c r="E28" s="33"/>
      <c r="F28" s="33"/>
      <c r="G28" s="34"/>
      <c r="H28" s="34"/>
      <c r="I28" s="33"/>
      <c r="J28" s="12"/>
    </row>
    <row r="29" spans="3:10" ht="17" thickBot="1" x14ac:dyDescent="0.25">
      <c r="C29" s="8"/>
      <c r="E29" s="9" t="s">
        <v>121</v>
      </c>
      <c r="F29" s="9"/>
      <c r="G29" s="35">
        <f>G9+G13+G21</f>
        <v>330000</v>
      </c>
      <c r="H29" s="34"/>
      <c r="I29" s="9"/>
      <c r="J29" s="12"/>
    </row>
    <row r="30" spans="3:10" ht="18" thickTop="1" thickBot="1" x14ac:dyDescent="0.25">
      <c r="C30" s="36"/>
      <c r="D30" s="37"/>
      <c r="E30" s="38"/>
      <c r="F30" s="38"/>
      <c r="G30" s="39"/>
      <c r="H30" s="39"/>
      <c r="I30" s="38"/>
      <c r="J30" s="40"/>
    </row>
    <row r="31" spans="3:10" ht="17" thickTop="1" x14ac:dyDescent="0.2">
      <c r="E31" s="33"/>
      <c r="F31" s="33"/>
      <c r="G31" s="33"/>
      <c r="H31" s="33"/>
      <c r="I31" s="33"/>
    </row>
    <row r="32" spans="3:10" x14ac:dyDescent="0.2">
      <c r="E32" s="33"/>
      <c r="F32" s="33"/>
      <c r="G32" s="33"/>
      <c r="H32" s="33"/>
      <c r="I32" s="33"/>
    </row>
  </sheetData>
  <sheetProtection sheet="1" objects="1" scenarios="1"/>
  <mergeCells count="3">
    <mergeCell ref="I13:I19"/>
    <mergeCell ref="I21:I27"/>
    <mergeCell ref="I9:I11"/>
  </mergeCells>
  <hyperlinks>
    <hyperlink ref="B2" location="BP!A1" display="&lt;&lt; Voltar" xr:uid="{4DF039F7-E8B2-47DD-B99C-2FDBB4B69CBB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0ED5-FE26-4668-8300-F857DFEDA901}">
  <sheetPr>
    <pageSetUpPr fitToPage="1"/>
  </sheetPr>
  <dimension ref="B2:M36"/>
  <sheetViews>
    <sheetView showGridLines="0" topLeftCell="A3" zoomScaleNormal="100" workbookViewId="0">
      <selection activeCell="G12" sqref="G12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8.5" style="4" bestFit="1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51"/>
      <c r="D2" s="3"/>
    </row>
    <row r="3" spans="2:10" ht="17" thickBot="1" x14ac:dyDescent="0.25">
      <c r="B3" s="51"/>
      <c r="C3" s="51"/>
      <c r="D3" s="3"/>
    </row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05" t="s">
        <v>11</v>
      </c>
      <c r="E5" s="10" t="s">
        <v>10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x14ac:dyDescent="0.2">
      <c r="C9" s="46"/>
      <c r="D9" s="18"/>
      <c r="E9" s="19" t="s">
        <v>136</v>
      </c>
      <c r="F9" s="25"/>
      <c r="G9" s="20">
        <f>SUM(G11:G17)</f>
        <v>205000</v>
      </c>
      <c r="H9" s="27"/>
      <c r="I9" s="204" t="s">
        <v>137</v>
      </c>
      <c r="J9" s="47"/>
    </row>
    <row r="10" spans="2:10" ht="5" customHeight="1" x14ac:dyDescent="0.2">
      <c r="C10" s="46"/>
      <c r="D10" s="18"/>
      <c r="E10" s="19"/>
      <c r="F10" s="25"/>
      <c r="G10" s="28"/>
      <c r="H10" s="27"/>
      <c r="I10" s="204"/>
      <c r="J10" s="47"/>
    </row>
    <row r="11" spans="2:10" ht="17" x14ac:dyDescent="0.2">
      <c r="C11" s="46"/>
      <c r="E11" s="24" t="s">
        <v>138</v>
      </c>
      <c r="F11" s="25"/>
      <c r="G11" s="101">
        <v>205000</v>
      </c>
      <c r="H11" s="27"/>
      <c r="I11" s="204"/>
      <c r="J11" s="47"/>
    </row>
    <row r="12" spans="2:10" ht="17" x14ac:dyDescent="0.2">
      <c r="C12" s="46"/>
      <c r="E12" s="24" t="s">
        <v>139</v>
      </c>
      <c r="F12" s="25"/>
      <c r="G12" s="102">
        <v>0</v>
      </c>
      <c r="H12" s="27"/>
      <c r="I12" s="204"/>
      <c r="J12" s="47"/>
    </row>
    <row r="13" spans="2:10" ht="17" x14ac:dyDescent="0.2">
      <c r="C13" s="46"/>
      <c r="E13" s="24" t="s">
        <v>140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24" t="s">
        <v>141</v>
      </c>
      <c r="F14" s="25"/>
      <c r="G14" s="102">
        <v>0</v>
      </c>
      <c r="H14" s="27"/>
      <c r="I14" s="204"/>
      <c r="J14" s="47"/>
    </row>
    <row r="15" spans="2:10" ht="17" x14ac:dyDescent="0.2">
      <c r="C15" s="46"/>
      <c r="E15" s="24" t="s">
        <v>142</v>
      </c>
      <c r="F15" s="25"/>
      <c r="G15" s="101">
        <v>0</v>
      </c>
      <c r="H15" s="27"/>
      <c r="I15" s="204"/>
      <c r="J15" s="47"/>
    </row>
    <row r="16" spans="2:10" ht="17" x14ac:dyDescent="0.2">
      <c r="C16" s="46"/>
      <c r="E16" s="24" t="s">
        <v>143</v>
      </c>
      <c r="F16" s="25"/>
      <c r="G16" s="101">
        <v>0</v>
      </c>
      <c r="H16" s="27"/>
      <c r="I16" s="204"/>
      <c r="J16" s="47"/>
    </row>
    <row r="17" spans="3:13" ht="17" x14ac:dyDescent="0.2">
      <c r="C17" s="46"/>
      <c r="E17" s="24" t="s">
        <v>144</v>
      </c>
      <c r="F17" s="19"/>
      <c r="G17" s="102">
        <v>0</v>
      </c>
      <c r="H17" s="30"/>
      <c r="I17" s="204"/>
      <c r="J17" s="47"/>
    </row>
    <row r="18" spans="3:13" x14ac:dyDescent="0.2">
      <c r="C18" s="46"/>
      <c r="E18" s="25"/>
      <c r="F18" s="25"/>
      <c r="G18" s="31"/>
      <c r="H18" s="31"/>
      <c r="I18" s="25"/>
      <c r="J18" s="47"/>
    </row>
    <row r="19" spans="3:13" ht="15.5" customHeight="1" x14ac:dyDescent="0.2">
      <c r="C19" s="46"/>
      <c r="D19" s="18"/>
      <c r="E19" s="19" t="s">
        <v>145</v>
      </c>
      <c r="F19" s="25"/>
      <c r="G19" s="20">
        <f>SUM(G21:G27)</f>
        <v>0</v>
      </c>
      <c r="H19" s="31"/>
      <c r="I19" s="204" t="s">
        <v>146</v>
      </c>
      <c r="J19" s="47"/>
    </row>
    <row r="20" spans="3:13" ht="5" customHeight="1" x14ac:dyDescent="0.2">
      <c r="C20" s="46"/>
      <c r="D20" s="18"/>
      <c r="E20" s="19"/>
      <c r="F20" s="25"/>
      <c r="G20" s="28"/>
      <c r="H20" s="31"/>
      <c r="I20" s="204"/>
      <c r="J20" s="47"/>
    </row>
    <row r="21" spans="3:13" ht="17" x14ac:dyDescent="0.2">
      <c r="C21" s="46"/>
      <c r="E21" s="24" t="s">
        <v>138</v>
      </c>
      <c r="F21" s="25"/>
      <c r="G21" s="101">
        <v>0</v>
      </c>
      <c r="H21" s="27"/>
      <c r="I21" s="204"/>
      <c r="J21" s="47"/>
    </row>
    <row r="22" spans="3:13" ht="17" x14ac:dyDescent="0.2">
      <c r="C22" s="46"/>
      <c r="E22" s="24" t="s">
        <v>139</v>
      </c>
      <c r="F22" s="25"/>
      <c r="G22" s="102">
        <v>0</v>
      </c>
      <c r="H22" s="27"/>
      <c r="I22" s="204"/>
      <c r="J22" s="47"/>
    </row>
    <row r="23" spans="3:13" ht="17" x14ac:dyDescent="0.2">
      <c r="C23" s="46"/>
      <c r="E23" s="24" t="s">
        <v>140</v>
      </c>
      <c r="F23" s="25"/>
      <c r="G23" s="101">
        <v>0</v>
      </c>
      <c r="H23" s="27"/>
      <c r="I23" s="204"/>
      <c r="J23" s="47"/>
    </row>
    <row r="24" spans="3:13" ht="17" x14ac:dyDescent="0.2">
      <c r="C24" s="46"/>
      <c r="E24" s="24" t="s">
        <v>141</v>
      </c>
      <c r="F24" s="25"/>
      <c r="G24" s="102">
        <v>0</v>
      </c>
      <c r="H24" s="27"/>
      <c r="I24" s="204"/>
      <c r="J24" s="47"/>
    </row>
    <row r="25" spans="3:13" ht="17" x14ac:dyDescent="0.2">
      <c r="C25" s="46"/>
      <c r="E25" s="24" t="s">
        <v>142</v>
      </c>
      <c r="F25" s="25"/>
      <c r="G25" s="101">
        <v>0</v>
      </c>
      <c r="H25" s="27"/>
      <c r="I25" s="204"/>
      <c r="J25" s="47"/>
    </row>
    <row r="26" spans="3:13" ht="17" x14ac:dyDescent="0.2">
      <c r="C26" s="46"/>
      <c r="E26" s="24" t="s">
        <v>143</v>
      </c>
      <c r="F26" s="25"/>
      <c r="G26" s="101">
        <v>0</v>
      </c>
      <c r="H26" s="27"/>
      <c r="I26" s="204"/>
      <c r="J26" s="47"/>
    </row>
    <row r="27" spans="3:13" ht="17" x14ac:dyDescent="0.2">
      <c r="C27" s="46"/>
      <c r="E27" s="24" t="s">
        <v>144</v>
      </c>
      <c r="F27" s="19"/>
      <c r="G27" s="102">
        <v>0</v>
      </c>
      <c r="H27" s="30"/>
      <c r="I27" s="204"/>
      <c r="J27" s="47"/>
    </row>
    <row r="28" spans="3:13" x14ac:dyDescent="0.2">
      <c r="C28" s="46"/>
      <c r="E28" s="33"/>
      <c r="F28" s="33"/>
      <c r="G28" s="34"/>
      <c r="H28" s="34"/>
      <c r="I28" s="33"/>
      <c r="J28" s="47"/>
    </row>
    <row r="29" spans="3:13" ht="17" thickBot="1" x14ac:dyDescent="0.25">
      <c r="C29" s="46"/>
      <c r="E29" s="9" t="s">
        <v>147</v>
      </c>
      <c r="F29" s="9"/>
      <c r="G29" s="35">
        <f>G9+G19</f>
        <v>205000</v>
      </c>
      <c r="H29" s="34"/>
      <c r="I29" s="9"/>
      <c r="J29" s="47"/>
    </row>
    <row r="30" spans="3:13" ht="16.25" customHeight="1" thickTop="1" x14ac:dyDescent="0.2">
      <c r="C30" s="46"/>
      <c r="E30" s="9"/>
      <c r="F30" s="9"/>
      <c r="G30" s="33"/>
      <c r="H30" s="33"/>
      <c r="I30" s="204" t="s">
        <v>148</v>
      </c>
      <c r="J30" s="47"/>
      <c r="M30" s="11"/>
    </row>
    <row r="31" spans="3:13" ht="15.5" customHeight="1" x14ac:dyDescent="0.2">
      <c r="C31" s="46"/>
      <c r="E31" s="9" t="s">
        <v>149</v>
      </c>
      <c r="F31" s="106">
        <f>IFERROR(G31/G29,0)</f>
        <v>0</v>
      </c>
      <c r="G31" s="101">
        <v>0</v>
      </c>
      <c r="H31" s="33"/>
      <c r="I31" s="204"/>
      <c r="J31" s="47"/>
    </row>
    <row r="32" spans="3:13" x14ac:dyDescent="0.2">
      <c r="C32" s="46"/>
      <c r="E32" s="33"/>
      <c r="F32" s="33"/>
      <c r="G32" s="33"/>
      <c r="H32" s="33"/>
      <c r="I32" s="204"/>
      <c r="J32" s="47"/>
    </row>
    <row r="33" spans="3:10" x14ac:dyDescent="0.2">
      <c r="C33" s="46"/>
      <c r="E33" s="11" t="s">
        <v>150</v>
      </c>
      <c r="G33" s="53">
        <f>G29-G34</f>
        <v>205000</v>
      </c>
      <c r="J33" s="47"/>
    </row>
    <row r="34" spans="3:10" x14ac:dyDescent="0.2">
      <c r="C34" s="46"/>
      <c r="E34" s="11" t="s">
        <v>151</v>
      </c>
      <c r="G34" s="53">
        <f>G12+G22</f>
        <v>0</v>
      </c>
      <c r="J34" s="47"/>
    </row>
    <row r="35" spans="3:10" ht="17" thickBot="1" x14ac:dyDescent="0.25">
      <c r="C35" s="48"/>
      <c r="D35" s="49"/>
      <c r="E35" s="49"/>
      <c r="F35" s="49"/>
      <c r="G35" s="49"/>
      <c r="H35" s="49"/>
      <c r="I35" s="49"/>
      <c r="J35" s="50"/>
    </row>
    <row r="36" spans="3:10" ht="17" thickTop="1" x14ac:dyDescent="0.2"/>
  </sheetData>
  <mergeCells count="3">
    <mergeCell ref="I9:I17"/>
    <mergeCell ref="I19:I27"/>
    <mergeCell ref="I30:I32"/>
  </mergeCells>
  <hyperlinks>
    <hyperlink ref="B2" location="BP!A1" display="&lt;&lt; Voltar" xr:uid="{9E2127A7-230C-4FDA-A5E2-0533157FD131}"/>
  </hyperlinks>
  <pageMargins left="0.51181102362204722" right="0.51181102362204722" top="0.78740157480314965" bottom="0.78740157480314965" header="0.31496062992125984" footer="0.31496062992125984"/>
  <pageSetup paperSize="9" scale="54" orientation="portrait" blackAndWhite="1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AD74-CFDA-4089-BCE7-6A6E0FAE8A46}">
  <sheetPr>
    <pageSetUpPr fitToPage="1"/>
  </sheetPr>
  <dimension ref="B2:J18"/>
  <sheetViews>
    <sheetView showGridLines="0" zoomScaleNormal="100" workbookViewId="0">
      <selection activeCell="G11" sqref="G11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05" t="s">
        <v>15</v>
      </c>
      <c r="E5" s="10" t="s">
        <v>14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ht="4.25" customHeight="1" x14ac:dyDescent="0.2">
      <c r="C8" s="46"/>
      <c r="E8" s="14"/>
      <c r="F8" s="14"/>
      <c r="G8" s="16"/>
      <c r="H8" s="16"/>
      <c r="I8" s="14"/>
      <c r="J8" s="47"/>
    </row>
    <row r="9" spans="2:10" ht="15.5" customHeight="1" x14ac:dyDescent="0.2">
      <c r="C9" s="46"/>
      <c r="D9" s="18"/>
      <c r="E9" s="29" t="s">
        <v>152</v>
      </c>
      <c r="F9" s="25"/>
      <c r="G9" s="101">
        <v>0</v>
      </c>
      <c r="H9" s="27"/>
      <c r="I9" s="204" t="s">
        <v>153</v>
      </c>
      <c r="J9" s="47"/>
    </row>
    <row r="10" spans="2:10" ht="15" customHeight="1" x14ac:dyDescent="0.2">
      <c r="C10" s="46"/>
      <c r="E10" s="24" t="s">
        <v>154</v>
      </c>
      <c r="F10" s="25"/>
      <c r="G10" s="102">
        <v>50000</v>
      </c>
      <c r="H10" s="27"/>
      <c r="I10" s="204"/>
      <c r="J10" s="47"/>
    </row>
    <row r="11" spans="2:10" ht="15" customHeight="1" x14ac:dyDescent="0.2">
      <c r="C11" s="46"/>
      <c r="E11" s="29" t="s">
        <v>155</v>
      </c>
      <c r="F11" s="25"/>
      <c r="G11" s="101">
        <v>0</v>
      </c>
      <c r="H11" s="27"/>
      <c r="I11" s="204"/>
      <c r="J11" s="47"/>
    </row>
    <row r="12" spans="2:10" ht="15" customHeight="1" x14ac:dyDescent="0.2">
      <c r="C12" s="46"/>
      <c r="E12" s="29" t="s">
        <v>156</v>
      </c>
      <c r="F12" s="25"/>
      <c r="G12" s="102">
        <v>0</v>
      </c>
      <c r="H12" s="27"/>
      <c r="I12" s="204"/>
      <c r="J12" s="47"/>
    </row>
    <row r="13" spans="2:10" ht="15" customHeight="1" x14ac:dyDescent="0.2">
      <c r="C13" s="46"/>
      <c r="E13" s="29" t="s">
        <v>157</v>
      </c>
      <c r="F13" s="25"/>
      <c r="G13" s="101">
        <v>0</v>
      </c>
      <c r="H13" s="31"/>
      <c r="I13" s="204"/>
      <c r="J13" s="47"/>
    </row>
    <row r="14" spans="2:10" ht="4.25" customHeight="1" x14ac:dyDescent="0.2">
      <c r="C14" s="46"/>
      <c r="E14" s="55"/>
      <c r="F14" s="33"/>
      <c r="G14" s="34"/>
      <c r="H14" s="34"/>
      <c r="I14" s="204"/>
      <c r="J14" s="47"/>
    </row>
    <row r="15" spans="2:10" ht="17" thickBot="1" x14ac:dyDescent="0.25">
      <c r="C15" s="46"/>
      <c r="E15" s="9" t="s">
        <v>158</v>
      </c>
      <c r="F15" s="9"/>
      <c r="G15" s="35">
        <f>SUM(G9:G13)</f>
        <v>50000</v>
      </c>
      <c r="H15" s="34"/>
      <c r="I15" s="204"/>
      <c r="J15" s="47"/>
    </row>
    <row r="16" spans="2:10" ht="18" thickTop="1" thickBot="1" x14ac:dyDescent="0.25">
      <c r="C16" s="48"/>
      <c r="D16" s="49"/>
      <c r="E16" s="56"/>
      <c r="F16" s="56"/>
      <c r="G16" s="57"/>
      <c r="H16" s="57"/>
      <c r="I16" s="56"/>
      <c r="J16" s="50"/>
    </row>
    <row r="17" spans="5:9" ht="17" thickTop="1" x14ac:dyDescent="0.2">
      <c r="E17" s="33"/>
      <c r="F17" s="33"/>
      <c r="G17" s="58"/>
      <c r="H17" s="33"/>
      <c r="I17" s="33"/>
    </row>
    <row r="18" spans="5:9" x14ac:dyDescent="0.2">
      <c r="E18" s="33"/>
      <c r="F18" s="33"/>
      <c r="G18" s="33"/>
      <c r="H18" s="33"/>
      <c r="I18" s="33"/>
    </row>
  </sheetData>
  <sheetProtection sheet="1" objects="1" scenarios="1"/>
  <mergeCells count="1">
    <mergeCell ref="I9:I15"/>
  </mergeCells>
  <hyperlinks>
    <hyperlink ref="B2" location="BP!A1" display="&lt;&lt; Voltar" xr:uid="{0428D2A2-4E88-48F6-874C-DD253B7C4822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A619-C854-4D62-8BEE-BFD4C7ED5491}">
  <sheetPr>
    <pageSetUpPr fitToPage="1"/>
  </sheetPr>
  <dimension ref="B2:J20"/>
  <sheetViews>
    <sheetView showGridLines="0" workbookViewId="0">
      <selection activeCell="G13" sqref="G13"/>
    </sheetView>
  </sheetViews>
  <sheetFormatPr baseColWidth="10" defaultColWidth="8.83203125" defaultRowHeight="16" x14ac:dyDescent="0.2"/>
  <cols>
    <col min="1" max="1" width="4.6640625" style="4" customWidth="1"/>
    <col min="2" max="2" width="8.83203125" style="4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05" t="s">
        <v>19</v>
      </c>
      <c r="E5" s="10" t="s">
        <v>18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ht="4.25" customHeight="1" x14ac:dyDescent="0.2">
      <c r="C8" s="46"/>
      <c r="E8" s="19"/>
      <c r="F8" s="25"/>
      <c r="G8" s="28"/>
      <c r="H8" s="27"/>
      <c r="I8" s="25"/>
      <c r="J8" s="47"/>
    </row>
    <row r="9" spans="2:10" ht="17" x14ac:dyDescent="0.2">
      <c r="C9" s="46"/>
      <c r="D9" s="22"/>
      <c r="E9" s="29" t="s">
        <v>159</v>
      </c>
      <c r="F9" s="25"/>
      <c r="G9" s="101">
        <v>20000</v>
      </c>
      <c r="H9" s="27"/>
      <c r="I9" s="204" t="s">
        <v>160</v>
      </c>
      <c r="J9" s="47"/>
    </row>
    <row r="10" spans="2:10" ht="17" x14ac:dyDescent="0.2">
      <c r="C10" s="46"/>
      <c r="E10" s="29" t="s">
        <v>161</v>
      </c>
      <c r="F10" s="25"/>
      <c r="G10" s="102">
        <v>5000</v>
      </c>
      <c r="H10" s="27"/>
      <c r="I10" s="204"/>
      <c r="J10" s="47"/>
    </row>
    <row r="11" spans="2:10" ht="17" x14ac:dyDescent="0.2">
      <c r="C11" s="46"/>
      <c r="E11" s="29" t="s">
        <v>162</v>
      </c>
      <c r="F11" s="25"/>
      <c r="G11" s="101">
        <v>150000</v>
      </c>
      <c r="H11" s="27"/>
      <c r="I11" s="204"/>
      <c r="J11" s="47"/>
    </row>
    <row r="12" spans="2:10" ht="17" x14ac:dyDescent="0.2">
      <c r="C12" s="46"/>
      <c r="E12" s="29" t="s">
        <v>163</v>
      </c>
      <c r="F12" s="59"/>
      <c r="G12" s="102">
        <v>250000</v>
      </c>
      <c r="H12" s="27"/>
      <c r="I12" s="204"/>
      <c r="J12" s="47"/>
    </row>
    <row r="13" spans="2:10" ht="17" x14ac:dyDescent="0.2">
      <c r="C13" s="46"/>
      <c r="E13" s="29" t="s">
        <v>164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29" t="s">
        <v>165</v>
      </c>
      <c r="F14" s="25"/>
      <c r="G14" s="102">
        <v>0</v>
      </c>
      <c r="H14" s="27"/>
      <c r="I14" s="204"/>
      <c r="J14" s="47"/>
    </row>
    <row r="15" spans="2:10" ht="17" x14ac:dyDescent="0.2">
      <c r="C15" s="46"/>
      <c r="E15" s="29" t="s">
        <v>166</v>
      </c>
      <c r="F15" s="19"/>
      <c r="G15" s="101">
        <v>0</v>
      </c>
      <c r="H15" s="30"/>
      <c r="I15" s="204"/>
      <c r="J15" s="47"/>
    </row>
    <row r="16" spans="2:10" ht="4.25" customHeight="1" x14ac:dyDescent="0.2">
      <c r="C16" s="46"/>
      <c r="E16" s="55"/>
      <c r="F16" s="33"/>
      <c r="G16" s="34"/>
      <c r="H16" s="34"/>
      <c r="I16" s="33"/>
      <c r="J16" s="47"/>
    </row>
    <row r="17" spans="3:10" ht="17" thickBot="1" x14ac:dyDescent="0.25">
      <c r="C17" s="46"/>
      <c r="E17" s="9" t="s">
        <v>167</v>
      </c>
      <c r="F17" s="9"/>
      <c r="G17" s="35">
        <f>SUM(G9:G15)</f>
        <v>425000</v>
      </c>
      <c r="H17" s="34"/>
      <c r="I17" s="9"/>
      <c r="J17" s="47"/>
    </row>
    <row r="18" spans="3:10" ht="18" thickTop="1" thickBot="1" x14ac:dyDescent="0.25">
      <c r="C18" s="48"/>
      <c r="D18" s="49"/>
      <c r="E18" s="56"/>
      <c r="F18" s="56"/>
      <c r="G18" s="57"/>
      <c r="H18" s="57"/>
      <c r="I18" s="56"/>
      <c r="J18" s="50"/>
    </row>
    <row r="19" spans="3:10" ht="17" thickTop="1" x14ac:dyDescent="0.2">
      <c r="E19" s="33"/>
      <c r="F19" s="33"/>
      <c r="G19" s="58"/>
      <c r="H19" s="33"/>
      <c r="I19" s="33"/>
    </row>
    <row r="20" spans="3:10" x14ac:dyDescent="0.2">
      <c r="E20" s="33"/>
      <c r="F20" s="33"/>
      <c r="G20" s="33"/>
      <c r="H20" s="33"/>
      <c r="I20" s="33"/>
    </row>
  </sheetData>
  <sheetProtection sheet="1" objects="1" scenarios="1"/>
  <mergeCells count="1">
    <mergeCell ref="I9:I15"/>
  </mergeCells>
  <hyperlinks>
    <hyperlink ref="B2" location="BP!A1" display="&lt;&lt; Voltar" xr:uid="{C00FF608-8BD3-4D5B-866A-4827F685AE32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4A7E-F5FE-4996-9D67-438B43B43DA2}">
  <sheetPr>
    <pageSetUpPr fitToPage="1"/>
  </sheetPr>
  <dimension ref="B2:R29"/>
  <sheetViews>
    <sheetView showGridLines="0" workbookViewId="0">
      <selection activeCell="G13" sqref="G13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7" width="8.83203125" style="4"/>
    <col min="18" max="18" width="17.33203125" style="4" bestFit="1" customWidth="1"/>
    <col min="19" max="16384" width="8.83203125" style="4"/>
  </cols>
  <sheetData>
    <row r="2" spans="2:10" x14ac:dyDescent="0.2">
      <c r="B2" s="2" t="s">
        <v>120</v>
      </c>
      <c r="C2" s="60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05" t="s">
        <v>23</v>
      </c>
      <c r="E5" s="10" t="s">
        <v>168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x14ac:dyDescent="0.2">
      <c r="C9" s="46"/>
      <c r="D9" s="18"/>
      <c r="E9" s="19" t="s">
        <v>169</v>
      </c>
      <c r="F9" s="25"/>
      <c r="G9" s="66">
        <f>SUM(G11:G13)</f>
        <v>2000</v>
      </c>
      <c r="H9" s="27"/>
      <c r="I9" s="25"/>
      <c r="J9" s="47"/>
    </row>
    <row r="10" spans="2:10" ht="4.25" customHeight="1" x14ac:dyDescent="0.2">
      <c r="C10" s="46"/>
      <c r="D10" s="18"/>
      <c r="E10" s="19"/>
      <c r="F10" s="25"/>
      <c r="G10" s="28"/>
      <c r="H10" s="27"/>
      <c r="I10" s="25"/>
      <c r="J10" s="47"/>
    </row>
    <row r="11" spans="2:10" ht="17" x14ac:dyDescent="0.2">
      <c r="C11" s="46"/>
      <c r="E11" s="29" t="s">
        <v>170</v>
      </c>
      <c r="F11" s="25"/>
      <c r="G11" s="101">
        <v>0</v>
      </c>
      <c r="H11" s="27"/>
      <c r="I11" s="204" t="s">
        <v>171</v>
      </c>
      <c r="J11" s="47"/>
    </row>
    <row r="12" spans="2:10" ht="17" x14ac:dyDescent="0.2">
      <c r="C12" s="46"/>
      <c r="E12" s="29" t="s">
        <v>172</v>
      </c>
      <c r="F12" s="25"/>
      <c r="G12" s="101">
        <v>2000</v>
      </c>
      <c r="H12" s="27"/>
      <c r="I12" s="204"/>
      <c r="J12" s="47"/>
    </row>
    <row r="13" spans="2:10" ht="17" x14ac:dyDescent="0.2">
      <c r="C13" s="46"/>
      <c r="E13" s="29" t="s">
        <v>173</v>
      </c>
      <c r="F13" s="25"/>
      <c r="G13" s="101">
        <v>0</v>
      </c>
      <c r="H13" s="27"/>
      <c r="I13" s="204"/>
      <c r="J13" s="47"/>
    </row>
    <row r="14" spans="2:10" x14ac:dyDescent="0.2">
      <c r="C14" s="46"/>
      <c r="E14" s="9"/>
      <c r="F14" s="9"/>
      <c r="G14" s="33"/>
      <c r="H14" s="33"/>
      <c r="I14" s="107"/>
      <c r="J14" s="47"/>
    </row>
    <row r="15" spans="2:10" x14ac:dyDescent="0.2">
      <c r="C15" s="46"/>
      <c r="D15" s="18"/>
      <c r="E15" s="19" t="s">
        <v>174</v>
      </c>
      <c r="F15" s="25"/>
      <c r="G15" s="66">
        <f>SUM(G17:G19)</f>
        <v>0</v>
      </c>
      <c r="H15" s="27"/>
      <c r="I15" s="108"/>
      <c r="J15" s="47"/>
    </row>
    <row r="16" spans="2:10" ht="4.25" customHeight="1" x14ac:dyDescent="0.2">
      <c r="C16" s="46"/>
      <c r="D16" s="18"/>
      <c r="E16" s="19"/>
      <c r="F16" s="25"/>
      <c r="G16" s="28"/>
      <c r="H16" s="27"/>
      <c r="I16" s="108"/>
      <c r="J16" s="47"/>
    </row>
    <row r="17" spans="3:18" ht="17" x14ac:dyDescent="0.2">
      <c r="C17" s="46"/>
      <c r="E17" s="29" t="s">
        <v>170</v>
      </c>
      <c r="F17" s="25"/>
      <c r="G17" s="101">
        <v>0</v>
      </c>
      <c r="H17" s="27"/>
      <c r="I17" s="204" t="s">
        <v>175</v>
      </c>
      <c r="J17" s="47"/>
    </row>
    <row r="18" spans="3:18" ht="17" x14ac:dyDescent="0.2">
      <c r="C18" s="46"/>
      <c r="E18" s="29" t="s">
        <v>172</v>
      </c>
      <c r="F18" s="25"/>
      <c r="G18" s="101">
        <v>0</v>
      </c>
      <c r="H18" s="27"/>
      <c r="I18" s="204"/>
      <c r="J18" s="47"/>
    </row>
    <row r="19" spans="3:18" ht="17" x14ac:dyDescent="0.2">
      <c r="C19" s="46"/>
      <c r="E19" s="29" t="s">
        <v>173</v>
      </c>
      <c r="F19" s="25"/>
      <c r="G19" s="101">
        <v>0</v>
      </c>
      <c r="H19" s="27"/>
      <c r="I19" s="204"/>
      <c r="J19" s="47"/>
    </row>
    <row r="20" spans="3:18" x14ac:dyDescent="0.2">
      <c r="C20" s="46"/>
      <c r="J20" s="47"/>
      <c r="R20" s="62"/>
    </row>
    <row r="21" spans="3:18" ht="17" thickBot="1" x14ac:dyDescent="0.25">
      <c r="C21" s="46"/>
      <c r="E21" s="9" t="s">
        <v>176</v>
      </c>
      <c r="F21" s="9"/>
      <c r="G21" s="35">
        <f>$G$9+$G$15</f>
        <v>2000</v>
      </c>
      <c r="J21" s="47"/>
      <c r="R21" s="62"/>
    </row>
    <row r="22" spans="3:18" ht="18" thickTop="1" thickBot="1" x14ac:dyDescent="0.25">
      <c r="C22" s="48"/>
      <c r="D22" s="49"/>
      <c r="E22" s="49"/>
      <c r="F22" s="49"/>
      <c r="G22" s="49"/>
      <c r="H22" s="49"/>
      <c r="I22" s="49"/>
      <c r="J22" s="50"/>
      <c r="R22" s="62"/>
    </row>
    <row r="23" spans="3:18" ht="17" thickTop="1" x14ac:dyDescent="0.2">
      <c r="R23" s="63"/>
    </row>
    <row r="24" spans="3:18" x14ac:dyDescent="0.2">
      <c r="R24" s="63"/>
    </row>
    <row r="26" spans="3:18" x14ac:dyDescent="0.2">
      <c r="R26" s="63"/>
    </row>
    <row r="27" spans="3:18" x14ac:dyDescent="0.2">
      <c r="R27" s="64"/>
    </row>
    <row r="29" spans="3:18" x14ac:dyDescent="0.2">
      <c r="R29" s="65"/>
    </row>
  </sheetData>
  <sheetProtection sheet="1" objects="1" scenarios="1"/>
  <mergeCells count="2">
    <mergeCell ref="I11:I13"/>
    <mergeCell ref="I17:I19"/>
  </mergeCells>
  <hyperlinks>
    <hyperlink ref="B2" location="BP!A1" display="&lt;&lt; Voltar" xr:uid="{F3C567D4-2062-4094-A6E8-3E0F17B16A8D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2C9C-AAF1-4348-992A-513F4AFB6F8B}">
  <sheetPr>
    <pageSetUpPr fitToPage="1"/>
  </sheetPr>
  <dimension ref="B2:R25"/>
  <sheetViews>
    <sheetView showGridLines="0" workbookViewId="0">
      <selection activeCell="G11" sqref="G11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7" width="8.83203125" style="4"/>
    <col min="18" max="18" width="17.33203125" style="4" bestFit="1" customWidth="1"/>
    <col min="19" max="16384" width="8.83203125" style="4"/>
  </cols>
  <sheetData>
    <row r="2" spans="2:18" x14ac:dyDescent="0.2">
      <c r="B2" s="2" t="s">
        <v>120</v>
      </c>
      <c r="C2" s="2"/>
      <c r="D2" s="3"/>
    </row>
    <row r="3" spans="2:18" ht="17" thickBot="1" x14ac:dyDescent="0.25"/>
    <row r="4" spans="2:18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8" ht="18" x14ac:dyDescent="0.2">
      <c r="C5" s="46"/>
      <c r="D5" s="109" t="s">
        <v>33</v>
      </c>
      <c r="E5" s="10" t="s">
        <v>32</v>
      </c>
      <c r="F5" s="11"/>
      <c r="I5" s="11"/>
      <c r="J5" s="47"/>
    </row>
    <row r="6" spans="2:18" x14ac:dyDescent="0.2">
      <c r="C6" s="46"/>
      <c r="E6" s="103" t="s">
        <v>122</v>
      </c>
      <c r="F6" s="13"/>
      <c r="G6" s="14"/>
      <c r="H6" s="14"/>
      <c r="I6" s="13"/>
      <c r="J6" s="47"/>
    </row>
    <row r="7" spans="2:18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8" ht="4.25" customHeight="1" x14ac:dyDescent="0.2">
      <c r="C8" s="46"/>
      <c r="E8" s="19"/>
      <c r="F8" s="25"/>
      <c r="G8" s="28"/>
      <c r="H8" s="27"/>
      <c r="I8" s="25"/>
      <c r="J8" s="47"/>
    </row>
    <row r="9" spans="2:18" ht="17" x14ac:dyDescent="0.2">
      <c r="C9" s="46"/>
      <c r="D9" s="22"/>
      <c r="E9" s="29" t="s">
        <v>177</v>
      </c>
      <c r="F9" s="25"/>
      <c r="G9" s="101">
        <v>0</v>
      </c>
      <c r="H9" s="27"/>
      <c r="I9" s="205" t="s">
        <v>178</v>
      </c>
      <c r="J9" s="47"/>
    </row>
    <row r="10" spans="2:18" ht="17" x14ac:dyDescent="0.2">
      <c r="C10" s="46"/>
      <c r="E10" s="29" t="s">
        <v>179</v>
      </c>
      <c r="F10" s="25"/>
      <c r="G10" s="101">
        <v>200000</v>
      </c>
      <c r="H10" s="27"/>
      <c r="I10" s="205"/>
      <c r="J10" s="47"/>
    </row>
    <row r="11" spans="2:18" ht="17" x14ac:dyDescent="0.2">
      <c r="C11" s="46"/>
      <c r="E11" s="29" t="s">
        <v>180</v>
      </c>
      <c r="F11" s="25"/>
      <c r="G11" s="101">
        <v>0</v>
      </c>
      <c r="H11" s="27"/>
      <c r="I11" s="205"/>
      <c r="J11" s="47"/>
    </row>
    <row r="12" spans="2:18" ht="17" x14ac:dyDescent="0.2">
      <c r="C12" s="46"/>
      <c r="E12" s="29" t="s">
        <v>181</v>
      </c>
      <c r="F12" s="25"/>
      <c r="G12" s="101">
        <v>0</v>
      </c>
      <c r="H12" s="27"/>
      <c r="I12" s="205"/>
      <c r="J12" s="47"/>
    </row>
    <row r="13" spans="2:18" ht="17" x14ac:dyDescent="0.2">
      <c r="C13" s="46"/>
      <c r="E13" s="29" t="s">
        <v>182</v>
      </c>
      <c r="F13" s="19"/>
      <c r="G13" s="101">
        <v>0</v>
      </c>
      <c r="H13" s="30"/>
      <c r="I13" s="205"/>
      <c r="J13" s="47"/>
    </row>
    <row r="14" spans="2:18" ht="4.25" customHeight="1" x14ac:dyDescent="0.2">
      <c r="C14" s="46"/>
      <c r="E14" s="55"/>
      <c r="F14" s="33"/>
      <c r="G14" s="34"/>
      <c r="H14" s="34"/>
      <c r="I14" s="33"/>
      <c r="J14" s="47"/>
    </row>
    <row r="15" spans="2:18" ht="17" thickBot="1" x14ac:dyDescent="0.25">
      <c r="C15" s="46"/>
      <c r="E15" s="19" t="s">
        <v>183</v>
      </c>
      <c r="F15" s="9"/>
      <c r="G15" s="35">
        <f>SUM(G9:G13)</f>
        <v>200000</v>
      </c>
      <c r="H15" s="34"/>
      <c r="I15" s="9"/>
      <c r="J15" s="47"/>
    </row>
    <row r="16" spans="2:18" ht="18" thickTop="1" thickBot="1" x14ac:dyDescent="0.25">
      <c r="C16" s="48"/>
      <c r="D16" s="49"/>
      <c r="E16" s="49"/>
      <c r="F16" s="49"/>
      <c r="G16" s="49"/>
      <c r="H16" s="49"/>
      <c r="I16" s="49"/>
      <c r="J16" s="50"/>
      <c r="R16" s="62"/>
    </row>
    <row r="17" spans="18:18" ht="17" thickTop="1" x14ac:dyDescent="0.2">
      <c r="R17" s="62"/>
    </row>
    <row r="18" spans="18:18" x14ac:dyDescent="0.2">
      <c r="R18" s="62"/>
    </row>
    <row r="19" spans="18:18" x14ac:dyDescent="0.2">
      <c r="R19" s="63"/>
    </row>
    <row r="20" spans="18:18" x14ac:dyDescent="0.2">
      <c r="R20" s="63"/>
    </row>
    <row r="22" spans="18:18" x14ac:dyDescent="0.2">
      <c r="R22" s="63"/>
    </row>
    <row r="23" spans="18:18" x14ac:dyDescent="0.2">
      <c r="R23" s="64"/>
    </row>
    <row r="25" spans="18:18" x14ac:dyDescent="0.2">
      <c r="R25" s="65"/>
    </row>
  </sheetData>
  <sheetProtection sheet="1" objects="1" scenarios="1"/>
  <mergeCells count="1">
    <mergeCell ref="I9:I13"/>
  </mergeCells>
  <hyperlinks>
    <hyperlink ref="B2" location="BP!A1" display="&lt;&lt; Voltar" xr:uid="{FD690FE3-61EC-4449-82AC-6BF87F293932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8866-7211-42B0-A060-EED8B83744FE}">
  <sheetPr>
    <pageSetUpPr fitToPage="1"/>
  </sheetPr>
  <dimension ref="B2:U38"/>
  <sheetViews>
    <sheetView showGridLines="0" topLeftCell="A9" zoomScaleNormal="100" workbookViewId="0">
      <selection activeCell="G26" sqref="G26"/>
    </sheetView>
  </sheetViews>
  <sheetFormatPr baseColWidth="10" defaultColWidth="8.83203125" defaultRowHeight="16" x14ac:dyDescent="0.2"/>
  <cols>
    <col min="1" max="1" width="4.6640625" style="4" customWidth="1"/>
    <col min="2" max="2" width="8.83203125" style="4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7.33203125" style="4" bestFit="1" customWidth="1"/>
    <col min="8" max="8" width="6.1640625" style="4" hidden="1" customWidth="1"/>
    <col min="9" max="9" width="16" style="4" hidden="1" customWidth="1"/>
    <col min="10" max="10" width="17.5" style="4" bestFit="1" customWidth="1"/>
    <col min="11" max="11" width="2.6640625" style="4" customWidth="1"/>
    <col min="12" max="12" width="60.6640625" style="4" customWidth="1"/>
    <col min="13" max="13" width="4.6640625" style="4" customWidth="1"/>
    <col min="14" max="20" width="8.83203125" style="4"/>
    <col min="21" max="21" width="17.33203125" style="4" bestFit="1" customWidth="1"/>
    <col min="22" max="16384" width="8.83203125" style="4"/>
  </cols>
  <sheetData>
    <row r="2" spans="2:13" x14ac:dyDescent="0.2">
      <c r="B2" s="2" t="s">
        <v>120</v>
      </c>
      <c r="C2" s="2"/>
      <c r="D2" s="3"/>
    </row>
    <row r="3" spans="2:13" ht="17" thickBot="1" x14ac:dyDescent="0.25"/>
    <row r="4" spans="2:13" ht="17" thickTop="1" x14ac:dyDescent="0.2">
      <c r="C4" s="43"/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2:13" ht="18" x14ac:dyDescent="0.2">
      <c r="C5" s="46"/>
      <c r="D5" s="105" t="s">
        <v>36</v>
      </c>
      <c r="E5" s="10" t="s">
        <v>184</v>
      </c>
      <c r="F5" s="10"/>
      <c r="G5" s="10"/>
      <c r="H5" s="11"/>
      <c r="I5" s="11"/>
      <c r="L5" s="11"/>
      <c r="M5" s="47"/>
    </row>
    <row r="6" spans="2:13" x14ac:dyDescent="0.2">
      <c r="C6" s="46"/>
      <c r="E6" s="103" t="s">
        <v>122</v>
      </c>
      <c r="F6" s="13"/>
      <c r="G6" s="13"/>
      <c r="H6" s="13"/>
      <c r="I6" s="13"/>
      <c r="J6" s="14"/>
      <c r="K6" s="14"/>
      <c r="L6" s="13"/>
      <c r="M6" s="47"/>
    </row>
    <row r="7" spans="2:13" ht="18" x14ac:dyDescent="0.2">
      <c r="C7" s="46"/>
      <c r="E7" s="14"/>
      <c r="F7" s="14"/>
      <c r="G7" s="14"/>
      <c r="H7" s="14"/>
      <c r="I7" s="14"/>
      <c r="J7" s="15">
        <f>BP!$E$2</f>
        <v>2025</v>
      </c>
      <c r="K7" s="54"/>
      <c r="L7" s="17" t="s">
        <v>123</v>
      </c>
      <c r="M7" s="47"/>
    </row>
    <row r="8" spans="2:13" x14ac:dyDescent="0.2">
      <c r="C8" s="46"/>
      <c r="E8" s="14"/>
      <c r="F8" s="14"/>
      <c r="G8" s="14"/>
      <c r="H8" s="14"/>
      <c r="I8" s="14"/>
      <c r="J8" s="16"/>
      <c r="K8" s="16"/>
      <c r="L8" s="14"/>
      <c r="M8" s="47"/>
    </row>
    <row r="9" spans="2:13" x14ac:dyDescent="0.2">
      <c r="C9" s="46"/>
      <c r="D9" s="18"/>
      <c r="E9" s="19" t="s">
        <v>185</v>
      </c>
      <c r="F9" s="19"/>
      <c r="G9" s="19"/>
      <c r="H9" s="25"/>
      <c r="I9" s="25"/>
      <c r="J9" s="66">
        <f>SUM(J11:J17)</f>
        <v>565000</v>
      </c>
      <c r="K9" s="27"/>
      <c r="L9" s="25"/>
      <c r="M9" s="47"/>
    </row>
    <row r="10" spans="2:13" ht="4.25" customHeight="1" x14ac:dyDescent="0.2">
      <c r="C10" s="46"/>
      <c r="D10" s="18"/>
      <c r="E10" s="19"/>
      <c r="F10" s="19"/>
      <c r="G10" s="19"/>
      <c r="H10" s="25"/>
      <c r="I10" s="25"/>
      <c r="J10" s="67"/>
      <c r="K10" s="27"/>
      <c r="L10" s="25"/>
      <c r="M10" s="47"/>
    </row>
    <row r="11" spans="2:13" ht="17" x14ac:dyDescent="0.2">
      <c r="C11" s="46"/>
      <c r="E11" s="29" t="s">
        <v>186</v>
      </c>
      <c r="F11" s="69"/>
      <c r="G11" s="55"/>
      <c r="H11" s="25"/>
      <c r="I11" s="25"/>
      <c r="J11" s="101">
        <v>100000</v>
      </c>
      <c r="K11" s="27"/>
      <c r="L11" s="204" t="s">
        <v>187</v>
      </c>
      <c r="M11" s="47"/>
    </row>
    <row r="12" spans="2:13" ht="17" x14ac:dyDescent="0.2">
      <c r="C12" s="46"/>
      <c r="E12" s="29" t="s">
        <v>188</v>
      </c>
      <c r="F12" s="69"/>
      <c r="G12" s="55"/>
      <c r="H12" s="25"/>
      <c r="I12" s="25"/>
      <c r="J12" s="101">
        <v>100000</v>
      </c>
      <c r="K12" s="27"/>
      <c r="L12" s="204"/>
      <c r="M12" s="47"/>
    </row>
    <row r="13" spans="2:13" ht="17" x14ac:dyDescent="0.2">
      <c r="C13" s="46"/>
      <c r="E13" s="29" t="s">
        <v>189</v>
      </c>
      <c r="F13" s="69"/>
      <c r="G13" s="55"/>
      <c r="H13" s="25"/>
      <c r="I13" s="25"/>
      <c r="J13" s="101">
        <v>50000</v>
      </c>
      <c r="K13" s="27"/>
      <c r="L13" s="204"/>
      <c r="M13" s="47"/>
    </row>
    <row r="14" spans="2:13" ht="17" x14ac:dyDescent="0.2">
      <c r="C14" s="46"/>
      <c r="E14" s="29" t="s">
        <v>190</v>
      </c>
      <c r="F14" s="69"/>
      <c r="G14" s="55"/>
      <c r="H14" s="25"/>
      <c r="I14" s="25"/>
      <c r="J14" s="101">
        <v>300000</v>
      </c>
      <c r="K14" s="27"/>
      <c r="L14" s="204"/>
      <c r="M14" s="47"/>
    </row>
    <row r="15" spans="2:13" ht="17" x14ac:dyDescent="0.2">
      <c r="C15" s="46"/>
      <c r="E15" s="29" t="s">
        <v>191</v>
      </c>
      <c r="F15" s="69"/>
      <c r="G15" s="55"/>
      <c r="H15" s="25"/>
      <c r="I15" s="25"/>
      <c r="J15" s="101">
        <v>15000</v>
      </c>
      <c r="K15" s="27"/>
      <c r="L15" s="204"/>
      <c r="M15" s="47"/>
    </row>
    <row r="16" spans="2:13" ht="17" x14ac:dyDescent="0.2">
      <c r="C16" s="46"/>
      <c r="E16" s="29" t="s">
        <v>192</v>
      </c>
      <c r="F16" s="69"/>
      <c r="G16" s="55"/>
      <c r="H16" s="19"/>
      <c r="I16" s="19"/>
      <c r="J16" s="101">
        <v>0</v>
      </c>
      <c r="K16" s="30"/>
      <c r="L16" s="204"/>
      <c r="M16" s="47"/>
    </row>
    <row r="17" spans="3:21" ht="17" x14ac:dyDescent="0.2">
      <c r="C17" s="46"/>
      <c r="E17" s="29" t="s">
        <v>193</v>
      </c>
      <c r="F17" s="69"/>
      <c r="G17" s="55"/>
      <c r="H17" s="25"/>
      <c r="I17" s="25"/>
      <c r="J17" s="101">
        <v>0</v>
      </c>
      <c r="K17" s="31"/>
      <c r="L17" s="204"/>
      <c r="M17" s="47"/>
    </row>
    <row r="18" spans="3:21" x14ac:dyDescent="0.2">
      <c r="C18" s="46"/>
      <c r="E18" s="19"/>
      <c r="F18" s="19"/>
      <c r="G18" s="19"/>
      <c r="H18" s="9"/>
      <c r="I18" s="9"/>
      <c r="K18" s="34"/>
      <c r="L18" s="9"/>
      <c r="M18" s="47"/>
    </row>
    <row r="19" spans="3:21" x14ac:dyDescent="0.2">
      <c r="C19" s="46"/>
      <c r="E19" s="9"/>
      <c r="F19" s="9"/>
      <c r="G19" s="9"/>
      <c r="H19" s="9"/>
      <c r="I19" s="9"/>
      <c r="J19" s="33"/>
      <c r="K19" s="33"/>
      <c r="L19" s="9"/>
      <c r="M19" s="47"/>
    </row>
    <row r="20" spans="3:21" ht="34" x14ac:dyDescent="0.2">
      <c r="C20" s="46"/>
      <c r="D20" s="18"/>
      <c r="E20" s="19" t="s">
        <v>194</v>
      </c>
      <c r="F20" s="19"/>
      <c r="G20" s="110" t="s">
        <v>195</v>
      </c>
      <c r="H20" s="110" t="s">
        <v>196</v>
      </c>
      <c r="I20" s="66">
        <f>SUM(I22:I28)</f>
        <v>0</v>
      </c>
      <c r="J20" s="66">
        <f>SUM(J22:J28)</f>
        <v>0</v>
      </c>
      <c r="K20" s="27"/>
      <c r="L20" s="25"/>
      <c r="M20" s="47"/>
    </row>
    <row r="21" spans="3:21" ht="4.25" customHeight="1" x14ac:dyDescent="0.2">
      <c r="C21" s="46"/>
      <c r="D21" s="18"/>
      <c r="E21" s="19"/>
      <c r="F21" s="19"/>
      <c r="G21" s="19"/>
      <c r="H21" s="25"/>
      <c r="I21" s="67"/>
      <c r="J21" s="67"/>
      <c r="K21" s="27"/>
      <c r="L21" s="25"/>
      <c r="M21" s="47"/>
    </row>
    <row r="22" spans="3:21" ht="17" x14ac:dyDescent="0.2">
      <c r="C22" s="46"/>
      <c r="E22" s="29" t="s">
        <v>186</v>
      </c>
      <c r="F22" s="69"/>
      <c r="G22" s="180">
        <v>0</v>
      </c>
      <c r="H22" s="70">
        <f>IF(G22=0,0,(1/G22))</f>
        <v>0</v>
      </c>
      <c r="I22" s="24">
        <f t="shared" ref="I22:I28" si="0">-J11*H22</f>
        <v>0</v>
      </c>
      <c r="J22" s="101">
        <f>G22*I22</f>
        <v>0</v>
      </c>
      <c r="K22" s="27"/>
      <c r="L22" s="206" t="s">
        <v>197</v>
      </c>
      <c r="M22" s="47"/>
    </row>
    <row r="23" spans="3:21" ht="17" x14ac:dyDescent="0.2">
      <c r="C23" s="46"/>
      <c r="E23" s="29" t="s">
        <v>188</v>
      </c>
      <c r="F23" s="69"/>
      <c r="G23" s="180">
        <v>0</v>
      </c>
      <c r="H23" s="70">
        <f t="shared" ref="H23:H28" si="1">IF(G23=0,0,(1/G23))</f>
        <v>0</v>
      </c>
      <c r="I23" s="24">
        <f t="shared" si="0"/>
        <v>0</v>
      </c>
      <c r="J23" s="101">
        <f t="shared" ref="J23:J28" si="2">G23*I23</f>
        <v>0</v>
      </c>
      <c r="K23" s="27"/>
      <c r="L23" s="206"/>
      <c r="M23" s="47"/>
    </row>
    <row r="24" spans="3:21" ht="17" x14ac:dyDescent="0.2">
      <c r="C24" s="46"/>
      <c r="E24" s="29" t="s">
        <v>189</v>
      </c>
      <c r="F24" s="69"/>
      <c r="G24" s="180">
        <v>0</v>
      </c>
      <c r="H24" s="70">
        <f t="shared" si="1"/>
        <v>0</v>
      </c>
      <c r="I24" s="24">
        <f t="shared" si="0"/>
        <v>0</v>
      </c>
      <c r="J24" s="101">
        <f t="shared" si="2"/>
        <v>0</v>
      </c>
      <c r="K24" s="27"/>
      <c r="L24" s="206"/>
      <c r="M24" s="47"/>
    </row>
    <row r="25" spans="3:21" ht="17" x14ac:dyDescent="0.2">
      <c r="C25" s="46"/>
      <c r="E25" s="29" t="s">
        <v>190</v>
      </c>
      <c r="F25" s="69"/>
      <c r="G25" s="180">
        <v>0</v>
      </c>
      <c r="H25" s="70">
        <f t="shared" si="1"/>
        <v>0</v>
      </c>
      <c r="I25" s="24">
        <f t="shared" si="0"/>
        <v>0</v>
      </c>
      <c r="J25" s="101">
        <f t="shared" si="2"/>
        <v>0</v>
      </c>
      <c r="K25" s="27"/>
      <c r="L25" s="206"/>
      <c r="M25" s="47"/>
    </row>
    <row r="26" spans="3:21" ht="17" x14ac:dyDescent="0.2">
      <c r="C26" s="46"/>
      <c r="E26" s="29" t="s">
        <v>191</v>
      </c>
      <c r="F26" s="69"/>
      <c r="G26" s="180">
        <v>0</v>
      </c>
      <c r="H26" s="70">
        <f t="shared" si="1"/>
        <v>0</v>
      </c>
      <c r="I26" s="24">
        <f t="shared" si="0"/>
        <v>0</v>
      </c>
      <c r="J26" s="101">
        <f t="shared" si="2"/>
        <v>0</v>
      </c>
      <c r="K26" s="27"/>
      <c r="L26" s="206"/>
      <c r="M26" s="47"/>
    </row>
    <row r="27" spans="3:21" ht="17" x14ac:dyDescent="0.2">
      <c r="C27" s="46"/>
      <c r="E27" s="29" t="s">
        <v>192</v>
      </c>
      <c r="F27" s="69"/>
      <c r="G27" s="180">
        <v>0</v>
      </c>
      <c r="H27" s="70">
        <f t="shared" si="1"/>
        <v>0</v>
      </c>
      <c r="I27" s="24">
        <f t="shared" si="0"/>
        <v>0</v>
      </c>
      <c r="J27" s="101">
        <f t="shared" si="2"/>
        <v>0</v>
      </c>
      <c r="K27" s="30"/>
      <c r="L27" s="206"/>
      <c r="M27" s="47"/>
    </row>
    <row r="28" spans="3:21" ht="17" x14ac:dyDescent="0.2">
      <c r="C28" s="46"/>
      <c r="E28" s="29" t="s">
        <v>193</v>
      </c>
      <c r="F28" s="69"/>
      <c r="G28" s="180">
        <v>0</v>
      </c>
      <c r="H28" s="70">
        <f t="shared" si="1"/>
        <v>0</v>
      </c>
      <c r="I28" s="24">
        <f t="shared" si="0"/>
        <v>0</v>
      </c>
      <c r="J28" s="101">
        <f t="shared" si="2"/>
        <v>0</v>
      </c>
      <c r="K28" s="31"/>
      <c r="L28" s="206"/>
      <c r="M28" s="47"/>
    </row>
    <row r="29" spans="3:21" x14ac:dyDescent="0.2">
      <c r="C29" s="46"/>
      <c r="M29" s="47"/>
      <c r="U29" s="62"/>
    </row>
    <row r="30" spans="3:21" ht="17" thickBot="1" x14ac:dyDescent="0.25">
      <c r="C30" s="46"/>
      <c r="E30" s="9" t="s">
        <v>184</v>
      </c>
      <c r="F30" s="9"/>
      <c r="G30" s="9"/>
      <c r="H30" s="9"/>
      <c r="I30" s="9"/>
      <c r="J30" s="35">
        <f>J9+J20</f>
        <v>565000</v>
      </c>
      <c r="M30" s="47"/>
      <c r="U30" s="62"/>
    </row>
    <row r="31" spans="3:21" ht="18" thickTop="1" thickBot="1" x14ac:dyDescent="0.25"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50"/>
      <c r="U31" s="62"/>
    </row>
    <row r="32" spans="3:21" ht="17" thickTop="1" x14ac:dyDescent="0.2">
      <c r="U32" s="63"/>
    </row>
    <row r="33" spans="21:21" x14ac:dyDescent="0.2">
      <c r="U33" s="63"/>
    </row>
    <row r="35" spans="21:21" x14ac:dyDescent="0.2">
      <c r="U35" s="63"/>
    </row>
    <row r="36" spans="21:21" x14ac:dyDescent="0.2">
      <c r="U36" s="64"/>
    </row>
    <row r="38" spans="21:21" x14ac:dyDescent="0.2">
      <c r="U38" s="65"/>
    </row>
  </sheetData>
  <sheetProtection sheet="1" objects="1" scenarios="1"/>
  <mergeCells count="2">
    <mergeCell ref="L11:L17"/>
    <mergeCell ref="L22:L28"/>
  </mergeCells>
  <hyperlinks>
    <hyperlink ref="B2" location="BP!A1" display="&lt;&lt; Voltar" xr:uid="{728E7FF3-6A52-4707-B78A-E1F4EEA6D925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  <ignoredErrors>
    <ignoredError sqref="J22:J28" unlocked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03CA-051D-42FE-8B07-B3DDC2CB2A27}">
  <sheetPr>
    <pageSetUpPr fitToPage="1"/>
  </sheetPr>
  <dimension ref="B2:J43"/>
  <sheetViews>
    <sheetView showGridLines="0" topLeftCell="A4" workbookViewId="0">
      <selection activeCell="G23" sqref="G23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9</v>
      </c>
      <c r="E5" s="10" t="s">
        <v>8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3"/>
      <c r="J8" s="47"/>
    </row>
    <row r="9" spans="2:10" x14ac:dyDescent="0.2">
      <c r="C9" s="46"/>
      <c r="E9" s="19" t="s">
        <v>136</v>
      </c>
      <c r="F9" s="25"/>
      <c r="G9" s="66">
        <f>SUM(G11:G17)</f>
        <v>180000</v>
      </c>
      <c r="H9" s="27"/>
      <c r="I9" s="204" t="s">
        <v>198</v>
      </c>
      <c r="J9" s="47"/>
    </row>
    <row r="10" spans="2:10" ht="4.25" customHeight="1" x14ac:dyDescent="0.2">
      <c r="C10" s="46"/>
      <c r="E10" s="19"/>
      <c r="F10" s="25"/>
      <c r="G10" s="28"/>
      <c r="H10" s="27"/>
      <c r="I10" s="204"/>
      <c r="J10" s="47"/>
    </row>
    <row r="11" spans="2:10" ht="17" x14ac:dyDescent="0.2">
      <c r="C11" s="46"/>
      <c r="E11" s="29" t="s">
        <v>138</v>
      </c>
      <c r="F11" s="25"/>
      <c r="G11" s="101">
        <v>150000</v>
      </c>
      <c r="H11" s="27"/>
      <c r="I11" s="204"/>
      <c r="J11" s="47"/>
    </row>
    <row r="12" spans="2:10" ht="17" x14ac:dyDescent="0.2">
      <c r="C12" s="46"/>
      <c r="E12" s="29" t="s">
        <v>139</v>
      </c>
      <c r="F12" s="25"/>
      <c r="G12" s="101">
        <v>30000</v>
      </c>
      <c r="H12" s="27"/>
      <c r="I12" s="204"/>
      <c r="J12" s="47"/>
    </row>
    <row r="13" spans="2:10" ht="17" x14ac:dyDescent="0.2">
      <c r="C13" s="46"/>
      <c r="E13" s="29" t="s">
        <v>140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29" t="s">
        <v>141</v>
      </c>
      <c r="F14" s="25"/>
      <c r="G14" s="101">
        <v>0</v>
      </c>
      <c r="H14" s="27"/>
      <c r="I14" s="204"/>
      <c r="J14" s="47"/>
    </row>
    <row r="15" spans="2:10" ht="17" x14ac:dyDescent="0.2">
      <c r="C15" s="46"/>
      <c r="E15" s="29" t="s">
        <v>142</v>
      </c>
      <c r="F15" s="25"/>
      <c r="G15" s="101">
        <v>0</v>
      </c>
      <c r="H15" s="27"/>
      <c r="I15" s="204"/>
      <c r="J15" s="47"/>
    </row>
    <row r="16" spans="2:10" ht="17" x14ac:dyDescent="0.2">
      <c r="C16" s="46"/>
      <c r="E16" s="29" t="s">
        <v>143</v>
      </c>
      <c r="F16" s="25"/>
      <c r="G16" s="101">
        <v>0</v>
      </c>
      <c r="H16" s="27"/>
      <c r="I16" s="204"/>
      <c r="J16" s="47"/>
    </row>
    <row r="17" spans="3:10" ht="17" x14ac:dyDescent="0.2">
      <c r="C17" s="46"/>
      <c r="E17" s="29" t="s">
        <v>144</v>
      </c>
      <c r="F17" s="25"/>
      <c r="G17" s="101">
        <v>0</v>
      </c>
      <c r="H17" s="27"/>
      <c r="I17" s="204"/>
      <c r="J17" s="47"/>
    </row>
    <row r="18" spans="3:10" x14ac:dyDescent="0.2">
      <c r="C18" s="46"/>
      <c r="E18" s="25"/>
      <c r="F18" s="25"/>
      <c r="G18" s="31"/>
      <c r="H18" s="31"/>
      <c r="I18" s="71"/>
      <c r="J18" s="47"/>
    </row>
    <row r="19" spans="3:10" x14ac:dyDescent="0.2">
      <c r="C19" s="46"/>
      <c r="E19" s="19" t="s">
        <v>145</v>
      </c>
      <c r="F19" s="25"/>
      <c r="G19" s="66">
        <f>SUM(G21:G27)</f>
        <v>600000</v>
      </c>
      <c r="H19" s="31"/>
      <c r="I19" s="204" t="s">
        <v>199</v>
      </c>
      <c r="J19" s="47"/>
    </row>
    <row r="20" spans="3:10" ht="4.25" customHeight="1" x14ac:dyDescent="0.2">
      <c r="C20" s="46"/>
      <c r="E20" s="19"/>
      <c r="F20" s="25"/>
      <c r="G20" s="28"/>
      <c r="H20" s="31"/>
      <c r="I20" s="204"/>
      <c r="J20" s="47"/>
    </row>
    <row r="21" spans="3:10" ht="17" x14ac:dyDescent="0.2">
      <c r="C21" s="46"/>
      <c r="E21" s="29" t="s">
        <v>138</v>
      </c>
      <c r="F21" s="25"/>
      <c r="G21" s="101">
        <v>250000</v>
      </c>
      <c r="H21" s="27"/>
      <c r="I21" s="204"/>
      <c r="J21" s="47"/>
    </row>
    <row r="22" spans="3:10" ht="17" x14ac:dyDescent="0.2">
      <c r="C22" s="46"/>
      <c r="E22" s="29" t="s">
        <v>139</v>
      </c>
      <c r="F22" s="25"/>
      <c r="G22" s="101">
        <v>350000</v>
      </c>
      <c r="H22" s="27"/>
      <c r="I22" s="204"/>
      <c r="J22" s="47"/>
    </row>
    <row r="23" spans="3:10" ht="17" x14ac:dyDescent="0.2">
      <c r="C23" s="46"/>
      <c r="E23" s="29" t="s">
        <v>140</v>
      </c>
      <c r="F23" s="25"/>
      <c r="G23" s="101">
        <v>0</v>
      </c>
      <c r="H23" s="27"/>
      <c r="I23" s="204"/>
      <c r="J23" s="47"/>
    </row>
    <row r="24" spans="3:10" ht="17" x14ac:dyDescent="0.2">
      <c r="C24" s="46"/>
      <c r="E24" s="29" t="s">
        <v>141</v>
      </c>
      <c r="F24" s="25"/>
      <c r="G24" s="101">
        <v>0</v>
      </c>
      <c r="H24" s="27"/>
      <c r="I24" s="204"/>
      <c r="J24" s="47"/>
    </row>
    <row r="25" spans="3:10" ht="17" x14ac:dyDescent="0.2">
      <c r="C25" s="46"/>
      <c r="E25" s="29" t="s">
        <v>142</v>
      </c>
      <c r="F25" s="25"/>
      <c r="G25" s="101">
        <v>0</v>
      </c>
      <c r="H25" s="27"/>
      <c r="I25" s="204"/>
      <c r="J25" s="47"/>
    </row>
    <row r="26" spans="3:10" ht="17" x14ac:dyDescent="0.2">
      <c r="C26" s="46"/>
      <c r="E26" s="29" t="s">
        <v>143</v>
      </c>
      <c r="F26" s="25"/>
      <c r="G26" s="101">
        <v>0</v>
      </c>
      <c r="H26" s="27"/>
      <c r="I26" s="204"/>
      <c r="J26" s="47"/>
    </row>
    <row r="27" spans="3:10" ht="17" x14ac:dyDescent="0.2">
      <c r="C27" s="46"/>
      <c r="E27" s="29" t="s">
        <v>144</v>
      </c>
      <c r="F27" s="19"/>
      <c r="G27" s="101">
        <v>0</v>
      </c>
      <c r="H27" s="30"/>
      <c r="I27" s="204"/>
      <c r="J27" s="47"/>
    </row>
    <row r="28" spans="3:10" x14ac:dyDescent="0.2">
      <c r="C28" s="46"/>
      <c r="E28" s="33"/>
      <c r="F28" s="33"/>
      <c r="G28" s="34"/>
      <c r="H28" s="34"/>
      <c r="I28" s="33"/>
      <c r="J28" s="47"/>
    </row>
    <row r="29" spans="3:10" ht="17" thickBot="1" x14ac:dyDescent="0.25">
      <c r="C29" s="46"/>
      <c r="E29" s="9" t="s">
        <v>147</v>
      </c>
      <c r="F29" s="9"/>
      <c r="G29" s="35">
        <f>G9+G19</f>
        <v>780000</v>
      </c>
      <c r="H29" s="34"/>
      <c r="I29" s="9"/>
      <c r="J29" s="47"/>
    </row>
    <row r="30" spans="3:10" ht="17" thickTop="1" x14ac:dyDescent="0.2">
      <c r="C30" s="46"/>
      <c r="E30" s="9"/>
      <c r="F30" s="9"/>
      <c r="G30" s="33"/>
      <c r="H30" s="33"/>
      <c r="I30" s="9"/>
      <c r="J30" s="47"/>
    </row>
    <row r="31" spans="3:10" x14ac:dyDescent="0.2">
      <c r="C31" s="46"/>
      <c r="E31" s="33"/>
      <c r="F31" s="33"/>
      <c r="G31" s="58"/>
      <c r="H31" s="33"/>
      <c r="I31" s="33"/>
      <c r="J31" s="47"/>
    </row>
    <row r="32" spans="3:10" x14ac:dyDescent="0.2">
      <c r="C32" s="46"/>
      <c r="E32" s="11" t="s">
        <v>200</v>
      </c>
      <c r="F32" s="11"/>
      <c r="G32" s="53">
        <f>G29-G33</f>
        <v>400000</v>
      </c>
      <c r="H32" s="33"/>
      <c r="I32" s="33"/>
      <c r="J32" s="47"/>
    </row>
    <row r="33" spans="3:10" x14ac:dyDescent="0.2">
      <c r="C33" s="46"/>
      <c r="E33" s="11" t="s">
        <v>201</v>
      </c>
      <c r="F33" s="11"/>
      <c r="G33" s="53">
        <f>G12+G22</f>
        <v>380000</v>
      </c>
      <c r="J33" s="47"/>
    </row>
    <row r="34" spans="3:10" ht="17" thickBot="1" x14ac:dyDescent="0.25">
      <c r="C34" s="48"/>
      <c r="D34" s="49"/>
      <c r="E34" s="49"/>
      <c r="F34" s="49"/>
      <c r="G34" s="49"/>
      <c r="H34" s="49"/>
      <c r="I34" s="49"/>
      <c r="J34" s="50"/>
    </row>
    <row r="35" spans="3:10" ht="17" thickTop="1" x14ac:dyDescent="0.2"/>
    <row r="37" spans="3:10" x14ac:dyDescent="0.2">
      <c r="E37" s="55"/>
    </row>
    <row r="38" spans="3:10" x14ac:dyDescent="0.2">
      <c r="E38" s="55"/>
    </row>
    <row r="39" spans="3:10" x14ac:dyDescent="0.2">
      <c r="E39" s="55"/>
    </row>
    <row r="40" spans="3:10" x14ac:dyDescent="0.2">
      <c r="E40" s="55"/>
    </row>
    <row r="41" spans="3:10" x14ac:dyDescent="0.2">
      <c r="E41" s="55"/>
    </row>
    <row r="42" spans="3:10" x14ac:dyDescent="0.2">
      <c r="E42" s="55"/>
    </row>
    <row r="43" spans="3:10" x14ac:dyDescent="0.2">
      <c r="E43" s="55"/>
    </row>
  </sheetData>
  <sheetProtection sheet="1" objects="1" scenarios="1"/>
  <mergeCells count="2">
    <mergeCell ref="I9:I17"/>
    <mergeCell ref="I19:I27"/>
  </mergeCells>
  <hyperlinks>
    <hyperlink ref="B2" location="BP!A1" display="&lt;&lt; Voltar" xr:uid="{6AFD0942-4F5E-4366-911E-744CB5C7EAEB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1F87-33D8-4BCD-BF2B-EBCF52F703B9}">
  <sheetPr>
    <pageSetUpPr fitToPage="1"/>
  </sheetPr>
  <dimension ref="B2:J29"/>
  <sheetViews>
    <sheetView showGridLines="0" workbookViewId="0">
      <selection activeCell="G21" sqref="G21"/>
    </sheetView>
  </sheetViews>
  <sheetFormatPr baseColWidth="10" defaultColWidth="8.83203125" defaultRowHeight="16" x14ac:dyDescent="0.2"/>
  <cols>
    <col min="1" max="1" width="8.83203125" style="4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60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13</v>
      </c>
      <c r="E5" s="10" t="s">
        <v>12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x14ac:dyDescent="0.2">
      <c r="C9" s="46"/>
      <c r="D9" s="11"/>
      <c r="E9" s="11" t="s">
        <v>169</v>
      </c>
      <c r="F9" s="25"/>
      <c r="G9" s="66">
        <f>SUM(G11:G15)</f>
        <v>95000</v>
      </c>
      <c r="H9" s="27"/>
      <c r="I9" s="204" t="s">
        <v>202</v>
      </c>
      <c r="J9" s="47"/>
    </row>
    <row r="10" spans="2:10" ht="4.25" customHeight="1" x14ac:dyDescent="0.2">
      <c r="C10" s="46"/>
      <c r="E10" s="11"/>
      <c r="F10" s="25"/>
      <c r="G10" s="28"/>
      <c r="H10" s="27"/>
      <c r="I10" s="204"/>
      <c r="J10" s="47"/>
    </row>
    <row r="11" spans="2:10" ht="17" x14ac:dyDescent="0.2">
      <c r="C11" s="46"/>
      <c r="E11" s="101" t="s">
        <v>129</v>
      </c>
      <c r="F11" s="25"/>
      <c r="G11" s="101">
        <v>60000</v>
      </c>
      <c r="H11" s="27"/>
      <c r="I11" s="204"/>
      <c r="J11" s="47"/>
    </row>
    <row r="12" spans="2:10" ht="17" x14ac:dyDescent="0.2">
      <c r="C12" s="46"/>
      <c r="E12" s="101" t="s">
        <v>130</v>
      </c>
      <c r="F12" s="25"/>
      <c r="G12" s="101">
        <v>35000</v>
      </c>
      <c r="H12" s="27"/>
      <c r="I12" s="204"/>
      <c r="J12" s="47"/>
    </row>
    <row r="13" spans="2:10" ht="17" x14ac:dyDescent="0.2">
      <c r="C13" s="46"/>
      <c r="E13" s="101" t="s">
        <v>131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101" t="s">
        <v>132</v>
      </c>
      <c r="F14" s="25"/>
      <c r="G14" s="101">
        <v>0</v>
      </c>
      <c r="H14" s="27"/>
      <c r="I14" s="204"/>
      <c r="J14" s="47"/>
    </row>
    <row r="15" spans="2:10" ht="17" x14ac:dyDescent="0.2">
      <c r="C15" s="46"/>
      <c r="E15" s="112" t="s">
        <v>133</v>
      </c>
      <c r="F15" s="19"/>
      <c r="G15" s="101">
        <v>0</v>
      </c>
      <c r="H15" s="30"/>
      <c r="I15" s="204"/>
      <c r="J15" s="47"/>
    </row>
    <row r="16" spans="2:10" x14ac:dyDescent="0.2">
      <c r="C16" s="46"/>
      <c r="E16" s="25"/>
      <c r="F16" s="25"/>
      <c r="G16" s="31"/>
      <c r="H16" s="31"/>
      <c r="I16" s="25"/>
      <c r="J16" s="47"/>
    </row>
    <row r="17" spans="3:10" ht="15.5" customHeight="1" x14ac:dyDescent="0.2">
      <c r="C17" s="46"/>
      <c r="D17" s="11"/>
      <c r="E17" s="11" t="s">
        <v>203</v>
      </c>
      <c r="F17" s="25"/>
      <c r="G17" s="66">
        <f>SUM(G19:G23)</f>
        <v>40000</v>
      </c>
      <c r="H17" s="31"/>
      <c r="I17" s="204" t="s">
        <v>204</v>
      </c>
      <c r="J17" s="47"/>
    </row>
    <row r="18" spans="3:10" ht="4.25" customHeight="1" x14ac:dyDescent="0.2">
      <c r="C18" s="46"/>
      <c r="E18" s="11"/>
      <c r="F18" s="25"/>
      <c r="G18" s="28"/>
      <c r="H18" s="31"/>
      <c r="I18" s="204"/>
      <c r="J18" s="47"/>
    </row>
    <row r="19" spans="3:10" ht="17" x14ac:dyDescent="0.2">
      <c r="C19" s="46"/>
      <c r="E19" s="101" t="s">
        <v>129</v>
      </c>
      <c r="F19" s="25"/>
      <c r="G19" s="101">
        <v>15000</v>
      </c>
      <c r="H19" s="27"/>
      <c r="I19" s="204"/>
      <c r="J19" s="47"/>
    </row>
    <row r="20" spans="3:10" ht="17" x14ac:dyDescent="0.2">
      <c r="C20" s="46"/>
      <c r="E20" s="101" t="s">
        <v>130</v>
      </c>
      <c r="F20" s="25"/>
      <c r="G20" s="101">
        <v>25000</v>
      </c>
      <c r="H20" s="27"/>
      <c r="I20" s="204"/>
      <c r="J20" s="47"/>
    </row>
    <row r="21" spans="3:10" ht="17" x14ac:dyDescent="0.2">
      <c r="C21" s="46"/>
      <c r="E21" s="101" t="s">
        <v>131</v>
      </c>
      <c r="F21" s="25"/>
      <c r="G21" s="101">
        <v>0</v>
      </c>
      <c r="H21" s="27"/>
      <c r="I21" s="204"/>
      <c r="J21" s="47"/>
    </row>
    <row r="22" spans="3:10" ht="17" x14ac:dyDescent="0.2">
      <c r="C22" s="46"/>
      <c r="E22" s="101" t="s">
        <v>132</v>
      </c>
      <c r="F22" s="25"/>
      <c r="G22" s="101">
        <v>0</v>
      </c>
      <c r="H22" s="27"/>
      <c r="I22" s="204"/>
      <c r="J22" s="47"/>
    </row>
    <row r="23" spans="3:10" ht="17" x14ac:dyDescent="0.2">
      <c r="C23" s="46"/>
      <c r="E23" s="24" t="s">
        <v>133</v>
      </c>
      <c r="F23" s="19"/>
      <c r="G23" s="101">
        <v>0</v>
      </c>
      <c r="H23" s="30"/>
      <c r="I23" s="204"/>
      <c r="J23" s="47"/>
    </row>
    <row r="24" spans="3:10" x14ac:dyDescent="0.2">
      <c r="C24" s="46"/>
      <c r="E24" s="33"/>
      <c r="F24" s="33"/>
      <c r="G24" s="34"/>
      <c r="H24" s="34"/>
      <c r="I24" s="33"/>
      <c r="J24" s="47"/>
    </row>
    <row r="25" spans="3:10" ht="17" thickBot="1" x14ac:dyDescent="0.25">
      <c r="C25" s="46"/>
      <c r="E25" s="11" t="s">
        <v>205</v>
      </c>
      <c r="F25" s="9"/>
      <c r="G25" s="35">
        <f>G9+G17</f>
        <v>135000</v>
      </c>
      <c r="H25" s="34"/>
      <c r="I25" s="9"/>
      <c r="J25" s="47"/>
    </row>
    <row r="26" spans="3:10" ht="18" thickTop="1" thickBot="1" x14ac:dyDescent="0.25">
      <c r="C26" s="48"/>
      <c r="D26" s="49"/>
      <c r="E26" s="56"/>
      <c r="F26" s="56"/>
      <c r="G26" s="57"/>
      <c r="H26" s="57"/>
      <c r="I26" s="56"/>
      <c r="J26" s="50"/>
    </row>
    <row r="27" spans="3:10" ht="17" thickTop="1" x14ac:dyDescent="0.2">
      <c r="E27" s="33"/>
      <c r="F27" s="33"/>
      <c r="G27" s="33"/>
      <c r="H27" s="33"/>
      <c r="I27" s="33"/>
    </row>
    <row r="28" spans="3:10" x14ac:dyDescent="0.2">
      <c r="G28" s="63"/>
      <c r="H28" s="33"/>
      <c r="I28" s="33"/>
    </row>
    <row r="29" spans="3:10" x14ac:dyDescent="0.2">
      <c r="G29" s="63"/>
    </row>
  </sheetData>
  <sheetProtection sheet="1" objects="1" scenarios="1"/>
  <mergeCells count="2">
    <mergeCell ref="I9:I15"/>
    <mergeCell ref="I17:I23"/>
  </mergeCells>
  <hyperlinks>
    <hyperlink ref="B2" location="BP!A1" display="&lt;&lt; Voltar" xr:uid="{3C4CE700-A95D-4DB5-85BD-AE001CC278DE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CD9A-8CE3-4051-B8B8-27139E5E4E04}">
  <sheetPr>
    <pageSetUpPr fitToPage="1"/>
  </sheetPr>
  <dimension ref="B2:J21"/>
  <sheetViews>
    <sheetView showGridLines="0" workbookViewId="0">
      <selection activeCell="G17" sqref="G17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17</v>
      </c>
      <c r="E5" s="10" t="s">
        <v>16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ht="15.5" customHeight="1" x14ac:dyDescent="0.2">
      <c r="C8" s="46"/>
      <c r="E8" s="11"/>
      <c r="F8" s="25"/>
      <c r="H8" s="27"/>
      <c r="I8" s="204" t="s">
        <v>206</v>
      </c>
      <c r="J8" s="47"/>
    </row>
    <row r="9" spans="2:10" ht="17" x14ac:dyDescent="0.2">
      <c r="C9" s="46"/>
      <c r="E9" s="29" t="s">
        <v>207</v>
      </c>
      <c r="F9" s="25"/>
      <c r="G9" s="101">
        <v>55000</v>
      </c>
      <c r="H9" s="27"/>
      <c r="I9" s="204"/>
      <c r="J9" s="47"/>
    </row>
    <row r="10" spans="2:10" ht="17" x14ac:dyDescent="0.2">
      <c r="C10" s="46"/>
      <c r="E10" s="29" t="s">
        <v>208</v>
      </c>
      <c r="F10" s="25"/>
      <c r="G10" s="101">
        <v>20000</v>
      </c>
      <c r="H10" s="27"/>
      <c r="I10" s="204"/>
      <c r="J10" s="47"/>
    </row>
    <row r="11" spans="2:10" ht="17" x14ac:dyDescent="0.2">
      <c r="C11" s="46"/>
      <c r="E11" s="29" t="s">
        <v>209</v>
      </c>
      <c r="F11" s="25"/>
      <c r="G11" s="101">
        <v>23000</v>
      </c>
      <c r="H11" s="27"/>
      <c r="I11" s="204"/>
      <c r="J11" s="47"/>
    </row>
    <row r="12" spans="2:10" ht="17" x14ac:dyDescent="0.2">
      <c r="C12" s="46"/>
      <c r="E12" s="29" t="s">
        <v>210</v>
      </c>
      <c r="F12" s="25"/>
      <c r="G12" s="101">
        <v>0</v>
      </c>
      <c r="H12" s="27"/>
      <c r="I12" s="204"/>
      <c r="J12" s="47"/>
    </row>
    <row r="13" spans="2:10" ht="17" x14ac:dyDescent="0.2">
      <c r="C13" s="46"/>
      <c r="E13" s="29" t="s">
        <v>211</v>
      </c>
      <c r="F13" s="19"/>
      <c r="G13" s="101">
        <v>35000</v>
      </c>
      <c r="H13" s="30"/>
      <c r="I13" s="204"/>
      <c r="J13" s="47"/>
    </row>
    <row r="14" spans="2:10" ht="17" x14ac:dyDescent="0.2">
      <c r="C14" s="46"/>
      <c r="E14" s="29" t="s">
        <v>212</v>
      </c>
      <c r="F14" s="25"/>
      <c r="G14" s="101">
        <v>0</v>
      </c>
      <c r="H14" s="31"/>
      <c r="I14" s="204"/>
      <c r="J14" s="47"/>
    </row>
    <row r="15" spans="2:10" ht="17" x14ac:dyDescent="0.2">
      <c r="C15" s="46"/>
      <c r="E15" s="29" t="s">
        <v>213</v>
      </c>
      <c r="F15" s="9"/>
      <c r="G15" s="101">
        <v>0</v>
      </c>
      <c r="H15" s="33"/>
      <c r="I15" s="204"/>
      <c r="J15" s="47"/>
    </row>
    <row r="16" spans="2:10" ht="17" x14ac:dyDescent="0.2">
      <c r="C16" s="46"/>
      <c r="E16" s="29" t="s">
        <v>214</v>
      </c>
      <c r="F16" s="33"/>
      <c r="G16" s="101">
        <v>22000</v>
      </c>
      <c r="H16" s="33"/>
      <c r="I16" s="204"/>
      <c r="J16" s="47"/>
    </row>
    <row r="17" spans="3:10" ht="4.25" customHeight="1" x14ac:dyDescent="0.2">
      <c r="C17" s="46"/>
      <c r="E17" s="55"/>
      <c r="F17" s="33"/>
      <c r="G17" s="72"/>
      <c r="H17" s="33"/>
      <c r="I17" s="33"/>
      <c r="J17" s="47"/>
    </row>
    <row r="18" spans="3:10" ht="17" thickBot="1" x14ac:dyDescent="0.25">
      <c r="C18" s="46"/>
      <c r="G18" s="73">
        <f>SUM(G9:G16)</f>
        <v>155000</v>
      </c>
      <c r="J18" s="47"/>
    </row>
    <row r="19" spans="3:10" ht="17" thickTop="1" x14ac:dyDescent="0.2">
      <c r="C19" s="46"/>
      <c r="J19" s="47"/>
    </row>
    <row r="20" spans="3:10" ht="17" thickBot="1" x14ac:dyDescent="0.25">
      <c r="C20" s="48"/>
      <c r="D20" s="49"/>
      <c r="E20" s="49"/>
      <c r="F20" s="49"/>
      <c r="G20" s="49"/>
      <c r="H20" s="49"/>
      <c r="I20" s="49"/>
      <c r="J20" s="50"/>
    </row>
    <row r="21" spans="3:10" ht="17" thickTop="1" x14ac:dyDescent="0.2"/>
  </sheetData>
  <sheetProtection sheet="1" objects="1" scenarios="1"/>
  <mergeCells count="1">
    <mergeCell ref="I8:I16"/>
  </mergeCells>
  <hyperlinks>
    <hyperlink ref="B2" location="BP!A1" display="&lt;&lt; Voltar" xr:uid="{39F2EE32-4902-4DE4-BA98-55D97424E1E1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06C-617C-401A-AC47-B34E1EE46B39}">
  <sheetPr>
    <pageSetUpPr fitToPage="1"/>
  </sheetPr>
  <dimension ref="B2:J24"/>
  <sheetViews>
    <sheetView showGridLines="0" workbookViewId="0">
      <selection activeCell="G14" sqref="G14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21</v>
      </c>
      <c r="E5" s="10" t="s">
        <v>20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ht="15.5" customHeight="1" x14ac:dyDescent="0.2">
      <c r="C8" s="46"/>
      <c r="E8" s="11"/>
      <c r="F8" s="25"/>
      <c r="H8" s="27"/>
      <c r="I8" s="204" t="s">
        <v>215</v>
      </c>
      <c r="J8" s="47"/>
    </row>
    <row r="9" spans="2:10" ht="17" x14ac:dyDescent="0.2">
      <c r="C9" s="46"/>
      <c r="E9" s="29" t="s">
        <v>216</v>
      </c>
      <c r="F9" s="25"/>
      <c r="G9" s="101">
        <v>0</v>
      </c>
      <c r="H9" s="27"/>
      <c r="I9" s="204"/>
      <c r="J9" s="47"/>
    </row>
    <row r="10" spans="2:10" ht="17" x14ac:dyDescent="0.2">
      <c r="C10" s="46"/>
      <c r="E10" s="29" t="s">
        <v>217</v>
      </c>
      <c r="F10" s="25"/>
      <c r="G10" s="101">
        <v>20000</v>
      </c>
      <c r="H10" s="27"/>
      <c r="I10" s="204"/>
      <c r="J10" s="47"/>
    </row>
    <row r="11" spans="2:10" ht="17" x14ac:dyDescent="0.2">
      <c r="C11" s="46"/>
      <c r="E11" s="29" t="s">
        <v>218</v>
      </c>
      <c r="F11" s="25"/>
      <c r="G11" s="101">
        <v>0</v>
      </c>
      <c r="H11" s="27"/>
      <c r="I11" s="204"/>
      <c r="J11" s="47"/>
    </row>
    <row r="12" spans="2:10" ht="17" x14ac:dyDescent="0.2">
      <c r="C12" s="46"/>
      <c r="E12" s="29" t="s">
        <v>219</v>
      </c>
      <c r="F12" s="25"/>
      <c r="G12" s="101">
        <v>0</v>
      </c>
      <c r="H12" s="27"/>
      <c r="I12" s="204"/>
      <c r="J12" s="47"/>
    </row>
    <row r="13" spans="2:10" ht="17" x14ac:dyDescent="0.2">
      <c r="C13" s="46"/>
      <c r="E13" s="29" t="s">
        <v>220</v>
      </c>
      <c r="F13" s="19"/>
      <c r="G13" s="101">
        <v>15000</v>
      </c>
      <c r="H13" s="30"/>
      <c r="I13" s="204"/>
      <c r="J13" s="47"/>
    </row>
    <row r="14" spans="2:10" ht="17" x14ac:dyDescent="0.2">
      <c r="C14" s="46"/>
      <c r="E14" s="29" t="s">
        <v>221</v>
      </c>
      <c r="F14" s="25"/>
      <c r="G14" s="101">
        <v>0</v>
      </c>
      <c r="H14" s="31"/>
      <c r="I14" s="204"/>
      <c r="J14" s="47"/>
    </row>
    <row r="15" spans="2:10" ht="17" x14ac:dyDescent="0.2">
      <c r="C15" s="46"/>
      <c r="E15" s="29" t="s">
        <v>222</v>
      </c>
      <c r="F15" s="9"/>
      <c r="G15" s="101">
        <v>0</v>
      </c>
      <c r="H15" s="33"/>
      <c r="I15" s="204"/>
      <c r="J15" s="47"/>
    </row>
    <row r="16" spans="2:10" ht="17" x14ac:dyDescent="0.2">
      <c r="C16" s="46"/>
      <c r="E16" s="29" t="s">
        <v>223</v>
      </c>
      <c r="F16" s="33"/>
      <c r="G16" s="101">
        <v>0</v>
      </c>
      <c r="H16" s="33"/>
      <c r="I16" s="204"/>
      <c r="J16" s="47"/>
    </row>
    <row r="17" spans="3:10" ht="17" x14ac:dyDescent="0.2">
      <c r="C17" s="46"/>
      <c r="E17" s="29" t="s">
        <v>224</v>
      </c>
      <c r="F17" s="33"/>
      <c r="G17" s="101">
        <v>0</v>
      </c>
      <c r="H17" s="33"/>
      <c r="I17" s="204"/>
      <c r="J17" s="47"/>
    </row>
    <row r="18" spans="3:10" ht="4.25" customHeight="1" x14ac:dyDescent="0.2">
      <c r="C18" s="46"/>
      <c r="J18" s="47"/>
    </row>
    <row r="19" spans="3:10" ht="17" thickBot="1" x14ac:dyDescent="0.25">
      <c r="C19" s="46"/>
      <c r="G19" s="73">
        <f>SUM(G9:G17)</f>
        <v>35000</v>
      </c>
      <c r="J19" s="47"/>
    </row>
    <row r="20" spans="3:10" ht="17" thickTop="1" x14ac:dyDescent="0.2">
      <c r="C20" s="46"/>
      <c r="J20" s="47"/>
    </row>
    <row r="21" spans="3:10" x14ac:dyDescent="0.2">
      <c r="C21" s="46"/>
      <c r="E21" s="11" t="s">
        <v>225</v>
      </c>
      <c r="F21" s="11"/>
      <c r="G21" s="74">
        <f>G19-G22</f>
        <v>35000</v>
      </c>
      <c r="J21" s="47"/>
    </row>
    <row r="22" spans="3:10" x14ac:dyDescent="0.2">
      <c r="C22" s="46"/>
      <c r="E22" s="11" t="s">
        <v>226</v>
      </c>
      <c r="F22" s="11"/>
      <c r="G22" s="53">
        <f>G17</f>
        <v>0</v>
      </c>
      <c r="J22" s="47"/>
    </row>
    <row r="23" spans="3:10" ht="17" thickBot="1" x14ac:dyDescent="0.25">
      <c r="C23" s="48"/>
      <c r="D23" s="49"/>
      <c r="E23" s="49"/>
      <c r="F23" s="49"/>
      <c r="G23" s="49"/>
      <c r="H23" s="49"/>
      <c r="I23" s="49"/>
      <c r="J23" s="50"/>
    </row>
    <row r="24" spans="3:10" ht="17" thickTop="1" x14ac:dyDescent="0.2"/>
  </sheetData>
  <sheetProtection sheet="1" objects="1" scenarios="1"/>
  <mergeCells count="1">
    <mergeCell ref="I8:I17"/>
  </mergeCells>
  <hyperlinks>
    <hyperlink ref="B2" location="BP!A1" display="&lt;&lt; Voltar" xr:uid="{4EF88FD6-84AE-499A-8A48-20E32C03D5B3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DEED-5286-4FA5-A1CE-7F67E59CB5E8}">
  <sheetPr>
    <pageSetUpPr fitToPage="1"/>
  </sheetPr>
  <dimension ref="B2:J25"/>
  <sheetViews>
    <sheetView showGridLines="0" workbookViewId="0">
      <selection activeCell="G7" sqref="G7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60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25</v>
      </c>
      <c r="E5" s="10" t="s">
        <v>227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x14ac:dyDescent="0.2">
      <c r="C9" s="46"/>
      <c r="D9" s="75"/>
      <c r="E9" s="11" t="s">
        <v>169</v>
      </c>
      <c r="F9" s="25"/>
      <c r="G9" s="20">
        <f>SUM(G11:G13)</f>
        <v>1200</v>
      </c>
      <c r="H9" s="27"/>
      <c r="I9" s="204" t="s">
        <v>228</v>
      </c>
      <c r="J9" s="47"/>
    </row>
    <row r="10" spans="2:10" ht="4.25" customHeight="1" x14ac:dyDescent="0.2">
      <c r="C10" s="46"/>
      <c r="D10" s="75"/>
      <c r="E10" s="11"/>
      <c r="F10" s="25"/>
      <c r="G10" s="28"/>
      <c r="H10" s="27"/>
      <c r="I10" s="204"/>
      <c r="J10" s="47"/>
    </row>
    <row r="11" spans="2:10" ht="17" x14ac:dyDescent="0.2">
      <c r="C11" s="46"/>
      <c r="D11" s="75"/>
      <c r="E11" s="29" t="s">
        <v>229</v>
      </c>
      <c r="F11" s="25"/>
      <c r="G11" s="101">
        <v>1200</v>
      </c>
      <c r="H11" s="27"/>
      <c r="I11" s="204"/>
      <c r="J11" s="47"/>
    </row>
    <row r="12" spans="2:10" ht="17" x14ac:dyDescent="0.2">
      <c r="C12" s="46"/>
      <c r="D12" s="75"/>
      <c r="E12" s="29" t="s">
        <v>230</v>
      </c>
      <c r="F12" s="25"/>
      <c r="G12" s="101">
        <v>0</v>
      </c>
      <c r="H12" s="27"/>
      <c r="I12" s="204"/>
      <c r="J12" s="47"/>
    </row>
    <row r="13" spans="2:10" ht="17" x14ac:dyDescent="0.2">
      <c r="C13" s="46"/>
      <c r="D13" s="75"/>
      <c r="E13" s="29" t="s">
        <v>231</v>
      </c>
      <c r="F13" s="25"/>
      <c r="G13" s="101">
        <v>0</v>
      </c>
      <c r="H13" s="27"/>
      <c r="I13" s="204"/>
      <c r="J13" s="47"/>
    </row>
    <row r="14" spans="2:10" ht="5" customHeight="1" x14ac:dyDescent="0.2">
      <c r="C14" s="46"/>
      <c r="D14" s="75"/>
      <c r="E14" s="55"/>
      <c r="F14" s="19"/>
      <c r="G14" s="72"/>
      <c r="H14" s="30"/>
      <c r="I14" s="78"/>
      <c r="J14" s="47"/>
    </row>
    <row r="15" spans="2:10" x14ac:dyDescent="0.2">
      <c r="C15" s="46"/>
      <c r="D15" s="75"/>
      <c r="E15" s="76"/>
      <c r="F15" s="19"/>
      <c r="H15" s="30"/>
      <c r="I15" s="78"/>
      <c r="J15" s="47"/>
    </row>
    <row r="16" spans="2:10" x14ac:dyDescent="0.2">
      <c r="C16" s="46"/>
      <c r="D16" s="75"/>
      <c r="E16" s="25"/>
      <c r="F16" s="25"/>
      <c r="G16" s="31"/>
      <c r="H16" s="31"/>
      <c r="I16" s="71"/>
      <c r="J16" s="47"/>
    </row>
    <row r="17" spans="3:10" x14ac:dyDescent="0.2">
      <c r="C17" s="46"/>
      <c r="D17" s="75"/>
      <c r="E17" s="11" t="s">
        <v>203</v>
      </c>
      <c r="F17" s="25"/>
      <c r="G17" s="20">
        <f>SUM(G19:G21)</f>
        <v>0</v>
      </c>
      <c r="H17" s="31"/>
      <c r="I17" s="204" t="s">
        <v>232</v>
      </c>
      <c r="J17" s="47"/>
    </row>
    <row r="18" spans="3:10" ht="4.25" customHeight="1" x14ac:dyDescent="0.2">
      <c r="C18" s="46"/>
      <c r="E18" s="11"/>
      <c r="F18" s="25"/>
      <c r="G18" s="67"/>
      <c r="H18" s="31"/>
      <c r="I18" s="204"/>
      <c r="J18" s="47"/>
    </row>
    <row r="19" spans="3:10" ht="17" x14ac:dyDescent="0.2">
      <c r="C19" s="46"/>
      <c r="E19" s="29" t="s">
        <v>229</v>
      </c>
      <c r="F19" s="25"/>
      <c r="G19" s="101">
        <v>0</v>
      </c>
      <c r="H19" s="27"/>
      <c r="I19" s="204"/>
      <c r="J19" s="47"/>
    </row>
    <row r="20" spans="3:10" ht="17" x14ac:dyDescent="0.2">
      <c r="C20" s="46"/>
      <c r="E20" s="29" t="s">
        <v>230</v>
      </c>
      <c r="F20" s="25"/>
      <c r="G20" s="101">
        <v>0</v>
      </c>
      <c r="H20" s="27"/>
      <c r="I20" s="204"/>
      <c r="J20" s="47"/>
    </row>
    <row r="21" spans="3:10" ht="17" x14ac:dyDescent="0.2">
      <c r="C21" s="46"/>
      <c r="E21" s="29" t="s">
        <v>231</v>
      </c>
      <c r="F21" s="25"/>
      <c r="G21" s="101">
        <v>0</v>
      </c>
      <c r="H21" s="27"/>
      <c r="I21" s="204"/>
      <c r="J21" s="47"/>
    </row>
    <row r="22" spans="3:10" x14ac:dyDescent="0.2">
      <c r="C22" s="46"/>
      <c r="E22" s="76"/>
      <c r="F22" s="9"/>
      <c r="H22" s="34"/>
      <c r="I22" s="9"/>
      <c r="J22" s="47"/>
    </row>
    <row r="23" spans="3:10" ht="17" thickBot="1" x14ac:dyDescent="0.25">
      <c r="C23" s="46"/>
      <c r="E23" s="76" t="s">
        <v>233</v>
      </c>
      <c r="F23" s="9"/>
      <c r="G23" s="77">
        <f>$G$9+$G$17</f>
        <v>1200</v>
      </c>
      <c r="H23" s="33"/>
      <c r="I23" s="9"/>
      <c r="J23" s="47"/>
    </row>
    <row r="24" spans="3:10" ht="18" thickTop="1" thickBot="1" x14ac:dyDescent="0.25">
      <c r="C24" s="48"/>
      <c r="D24" s="49"/>
      <c r="E24" s="57"/>
      <c r="F24" s="57"/>
      <c r="G24" s="57"/>
      <c r="H24" s="57"/>
      <c r="I24" s="57"/>
      <c r="J24" s="50"/>
    </row>
    <row r="25" spans="3:10" ht="17" thickTop="1" x14ac:dyDescent="0.2">
      <c r="E25" s="33"/>
      <c r="F25" s="33"/>
      <c r="G25" s="33"/>
      <c r="H25" s="33"/>
      <c r="I25" s="33"/>
    </row>
  </sheetData>
  <sheetProtection sheet="1" objects="1" scenarios="1"/>
  <mergeCells count="2">
    <mergeCell ref="I9:I13"/>
    <mergeCell ref="I17:I21"/>
  </mergeCells>
  <hyperlinks>
    <hyperlink ref="B2" location="BP!A1" display="&lt;&lt; Voltar" xr:uid="{615F3F87-C6C6-438C-84D4-A8CA797485A8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1777-790E-4B75-B0AA-05E5DCFF882E}">
  <dimension ref="B2:J15"/>
  <sheetViews>
    <sheetView showGridLines="0" workbookViewId="0">
      <selection activeCell="G10" sqref="G10"/>
    </sheetView>
  </sheetViews>
  <sheetFormatPr baseColWidth="10" defaultColWidth="8.83203125" defaultRowHeight="16" x14ac:dyDescent="0.2"/>
  <cols>
    <col min="1" max="1" width="8.83203125" style="4"/>
    <col min="2" max="2" width="9.5" style="4" bestFit="1" customWidth="1"/>
    <col min="3" max="3" width="4.6640625" style="4" customWidth="1"/>
    <col min="4" max="4" width="6.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39</v>
      </c>
      <c r="E5" s="10" t="s">
        <v>38</v>
      </c>
      <c r="F5" s="11"/>
      <c r="I5" s="11"/>
      <c r="J5" s="47"/>
    </row>
    <row r="6" spans="2:10" x14ac:dyDescent="0.2">
      <c r="C6" s="46"/>
      <c r="E6" s="103" t="s">
        <v>122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54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29" t="s">
        <v>38</v>
      </c>
      <c r="F9" s="25"/>
      <c r="G9" s="101">
        <v>500000</v>
      </c>
      <c r="H9" s="27"/>
      <c r="I9" s="204" t="s">
        <v>234</v>
      </c>
      <c r="J9" s="47"/>
    </row>
    <row r="10" spans="2:10" ht="4.25" customHeight="1" x14ac:dyDescent="0.2">
      <c r="C10" s="46"/>
      <c r="E10" s="25"/>
      <c r="F10" s="25"/>
      <c r="G10" s="113"/>
      <c r="H10" s="31"/>
      <c r="I10" s="204"/>
      <c r="J10" s="47"/>
    </row>
    <row r="11" spans="2:10" ht="17" x14ac:dyDescent="0.2">
      <c r="C11" s="46"/>
      <c r="E11" s="29" t="s">
        <v>235</v>
      </c>
      <c r="F11" s="25"/>
      <c r="G11" s="101">
        <v>0</v>
      </c>
      <c r="H11" s="31"/>
      <c r="I11" s="204"/>
      <c r="J11" s="47"/>
    </row>
    <row r="12" spans="2:10" x14ac:dyDescent="0.2">
      <c r="C12" s="46"/>
      <c r="E12" s="9"/>
      <c r="F12" s="9"/>
      <c r="G12" s="33"/>
      <c r="H12" s="33"/>
      <c r="I12" s="9"/>
      <c r="J12" s="47"/>
    </row>
    <row r="13" spans="2:10" ht="17" thickBot="1" x14ac:dyDescent="0.25">
      <c r="C13" s="46"/>
      <c r="E13" s="9" t="s">
        <v>236</v>
      </c>
      <c r="F13" s="33"/>
      <c r="G13" s="77">
        <f>G9-G11</f>
        <v>500000</v>
      </c>
      <c r="H13" s="33"/>
      <c r="I13" s="33"/>
      <c r="J13" s="47"/>
    </row>
    <row r="14" spans="2:10" ht="18" thickTop="1" thickBot="1" x14ac:dyDescent="0.25">
      <c r="C14" s="48"/>
      <c r="D14" s="49"/>
      <c r="E14" s="57"/>
      <c r="F14" s="57"/>
      <c r="G14" s="57"/>
      <c r="H14" s="57"/>
      <c r="I14" s="57"/>
      <c r="J14" s="50"/>
    </row>
    <row r="15" spans="2:10" ht="17" thickTop="1" x14ac:dyDescent="0.2"/>
  </sheetData>
  <sheetProtection sheet="1" objects="1" scenarios="1"/>
  <mergeCells count="1">
    <mergeCell ref="I9:I11"/>
  </mergeCells>
  <hyperlinks>
    <hyperlink ref="B2" location="BP!A1" display="&lt;&lt; Voltar" xr:uid="{03617D8B-D7DF-4CD0-A478-D9C6EA56BC3E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5744-52CA-479C-AE09-08FAAEA89E83}">
  <sheetPr>
    <pageSetUpPr fitToPage="1"/>
  </sheetPr>
  <dimension ref="B2:J17"/>
  <sheetViews>
    <sheetView showGridLines="0" workbookViewId="0">
      <selection activeCell="G15" sqref="G15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2" t="s">
        <v>120</v>
      </c>
      <c r="C2" s="2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48</v>
      </c>
      <c r="E5" s="10" t="s">
        <v>237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ht="18" x14ac:dyDescent="0.2">
      <c r="C8" s="46"/>
      <c r="E8" s="14"/>
      <c r="F8" s="14"/>
      <c r="G8" s="54"/>
      <c r="H8" s="16"/>
      <c r="I8" s="79"/>
      <c r="J8" s="47"/>
    </row>
    <row r="9" spans="2:10" x14ac:dyDescent="0.2">
      <c r="C9" s="46"/>
      <c r="E9" s="11"/>
      <c r="F9" s="25"/>
      <c r="G9" s="61">
        <f>SUM(G11:G14)</f>
        <v>53500</v>
      </c>
      <c r="H9" s="27"/>
      <c r="I9" s="204" t="s">
        <v>239</v>
      </c>
      <c r="J9" s="47"/>
    </row>
    <row r="10" spans="2:10" ht="4.25" customHeight="1" x14ac:dyDescent="0.2">
      <c r="C10" s="46"/>
      <c r="E10" s="11"/>
      <c r="F10" s="25"/>
      <c r="G10" s="28"/>
      <c r="H10" s="27"/>
      <c r="I10" s="204"/>
      <c r="J10" s="47"/>
    </row>
    <row r="11" spans="2:10" ht="17" x14ac:dyDescent="0.2">
      <c r="C11" s="46"/>
      <c r="E11" s="29" t="s">
        <v>240</v>
      </c>
      <c r="F11" s="25"/>
      <c r="G11" s="101">
        <v>15000</v>
      </c>
      <c r="H11" s="27"/>
      <c r="I11" s="204"/>
      <c r="J11" s="47"/>
    </row>
    <row r="12" spans="2:10" ht="17" x14ac:dyDescent="0.2">
      <c r="C12" s="46"/>
      <c r="E12" s="29" t="s">
        <v>241</v>
      </c>
      <c r="F12" s="25"/>
      <c r="G12" s="101">
        <v>2000</v>
      </c>
      <c r="H12" s="27"/>
      <c r="I12" s="204"/>
      <c r="J12" s="47"/>
    </row>
    <row r="13" spans="2:10" ht="17" x14ac:dyDescent="0.2">
      <c r="C13" s="46"/>
      <c r="E13" s="29" t="s">
        <v>242</v>
      </c>
      <c r="F13" s="25"/>
      <c r="G13" s="101">
        <v>35000</v>
      </c>
      <c r="H13" s="27"/>
      <c r="I13" s="204"/>
      <c r="J13" s="47"/>
    </row>
    <row r="14" spans="2:10" ht="17" x14ac:dyDescent="0.2">
      <c r="C14" s="46"/>
      <c r="E14" s="29" t="s">
        <v>243</v>
      </c>
      <c r="F14" s="25"/>
      <c r="G14" s="101">
        <v>1500</v>
      </c>
      <c r="H14" s="27"/>
      <c r="I14" s="204"/>
      <c r="J14" s="47"/>
    </row>
    <row r="15" spans="2:10" ht="17" thickBot="1" x14ac:dyDescent="0.25">
      <c r="C15" s="48"/>
      <c r="D15" s="49"/>
      <c r="E15" s="80"/>
      <c r="F15" s="81"/>
      <c r="G15" s="49"/>
      <c r="H15" s="82"/>
      <c r="I15" s="81"/>
      <c r="J15" s="50"/>
    </row>
    <row r="16" spans="2:10" ht="17" thickTop="1" x14ac:dyDescent="0.2">
      <c r="E16" s="33"/>
      <c r="F16" s="33"/>
      <c r="G16" s="33"/>
      <c r="H16" s="33"/>
      <c r="I16" s="33"/>
    </row>
    <row r="17" spans="5:9" x14ac:dyDescent="0.2">
      <c r="E17" s="33"/>
      <c r="F17" s="33"/>
      <c r="G17" s="33"/>
      <c r="H17" s="33"/>
      <c r="I17" s="33"/>
    </row>
  </sheetData>
  <sheetProtection sheet="1" objects="1" scenarios="1"/>
  <mergeCells count="1">
    <mergeCell ref="I9:I14"/>
  </mergeCells>
  <hyperlinks>
    <hyperlink ref="B2" location="DSP!A1" display="&lt;&lt; Voltar" xr:uid="{3A2EC7EC-A83A-4A6A-B4CB-B2A0C65D9C5B}"/>
  </hyperlinks>
  <pageMargins left="0.51181102362204722" right="0.51181102362204722" top="0.78740157480314965" bottom="0.78740157480314965" header="0.31496062992125984" footer="0.31496062992125984"/>
  <pageSetup paperSize="9" scale="55" orientation="portrait" blackAndWhite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4BC2-C924-4E03-9356-8AFFD8DCE4F0}">
  <dimension ref="B2:J22"/>
  <sheetViews>
    <sheetView showGridLines="0" workbookViewId="0">
      <selection activeCell="G16" sqref="G16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84"/>
      <c r="D4" s="85"/>
      <c r="E4" s="85"/>
      <c r="F4" s="85"/>
      <c r="G4" s="85"/>
      <c r="H4" s="85"/>
      <c r="I4" s="85"/>
      <c r="J4" s="86"/>
    </row>
    <row r="5" spans="2:10" ht="18" x14ac:dyDescent="0.2">
      <c r="C5" s="87"/>
      <c r="D5" s="111" t="s">
        <v>50</v>
      </c>
      <c r="E5" s="10" t="s">
        <v>244</v>
      </c>
      <c r="F5" s="11"/>
      <c r="I5" s="11"/>
      <c r="J5" s="88"/>
    </row>
    <row r="6" spans="2:10" x14ac:dyDescent="0.2">
      <c r="C6" s="87"/>
      <c r="E6" s="103" t="s">
        <v>238</v>
      </c>
      <c r="F6" s="13"/>
      <c r="G6" s="14"/>
      <c r="H6" s="14"/>
      <c r="I6" s="13"/>
      <c r="J6" s="88"/>
    </row>
    <row r="7" spans="2:10" ht="18" x14ac:dyDescent="0.2">
      <c r="C7" s="87"/>
      <c r="E7" s="14"/>
      <c r="F7" s="14"/>
      <c r="G7" s="15">
        <f>BP!$E$2</f>
        <v>2025</v>
      </c>
      <c r="H7" s="16"/>
      <c r="I7" s="17" t="s">
        <v>123</v>
      </c>
      <c r="J7" s="88"/>
    </row>
    <row r="8" spans="2:10" x14ac:dyDescent="0.2">
      <c r="C8" s="87"/>
      <c r="E8" s="11"/>
      <c r="F8" s="25"/>
      <c r="G8" s="28"/>
      <c r="H8" s="31"/>
      <c r="I8" s="89"/>
      <c r="J8" s="88"/>
    </row>
    <row r="9" spans="2:10" x14ac:dyDescent="0.2">
      <c r="C9" s="87"/>
      <c r="E9" s="11"/>
      <c r="F9" s="25"/>
      <c r="G9" s="20">
        <f>G11</f>
        <v>0</v>
      </c>
      <c r="H9" s="31"/>
      <c r="I9" s="89"/>
      <c r="J9" s="88"/>
    </row>
    <row r="10" spans="2:10" ht="4.25" customHeight="1" x14ac:dyDescent="0.2">
      <c r="C10" s="87"/>
      <c r="E10" s="11"/>
      <c r="F10" s="25"/>
      <c r="G10" s="28"/>
      <c r="H10" s="31"/>
      <c r="I10" s="89"/>
      <c r="J10" s="88"/>
    </row>
    <row r="11" spans="2:10" ht="17" x14ac:dyDescent="0.2">
      <c r="C11" s="87"/>
      <c r="E11" s="68" t="s">
        <v>245</v>
      </c>
      <c r="F11" s="25"/>
      <c r="G11" s="101">
        <v>0</v>
      </c>
      <c r="H11" s="27"/>
      <c r="I11" s="114" t="s">
        <v>246</v>
      </c>
      <c r="J11" s="88"/>
    </row>
    <row r="12" spans="2:10" x14ac:dyDescent="0.2">
      <c r="C12" s="87"/>
      <c r="E12" s="76"/>
      <c r="F12" s="25"/>
      <c r="H12" s="27"/>
      <c r="I12" s="89"/>
      <c r="J12" s="88"/>
    </row>
    <row r="13" spans="2:10" x14ac:dyDescent="0.2">
      <c r="C13" s="87"/>
      <c r="E13" s="55"/>
      <c r="F13" s="25"/>
      <c r="G13" s="20">
        <f>SUM(G15:G19)</f>
        <v>1500</v>
      </c>
      <c r="H13" s="27"/>
      <c r="I13" s="89"/>
      <c r="J13" s="88"/>
    </row>
    <row r="14" spans="2:10" ht="4.25" customHeight="1" x14ac:dyDescent="0.2">
      <c r="C14" s="87"/>
      <c r="E14" s="55"/>
      <c r="F14" s="25"/>
      <c r="G14" s="52"/>
      <c r="H14" s="27"/>
      <c r="I14" s="89"/>
      <c r="J14" s="88"/>
    </row>
    <row r="15" spans="2:10" ht="17" x14ac:dyDescent="0.2">
      <c r="C15" s="87"/>
      <c r="E15" s="68" t="s">
        <v>247</v>
      </c>
      <c r="F15" s="25"/>
      <c r="G15" s="101">
        <v>1500</v>
      </c>
      <c r="H15" s="27"/>
      <c r="I15" s="205" t="s">
        <v>248</v>
      </c>
      <c r="J15" s="88"/>
    </row>
    <row r="16" spans="2:10" ht="17" x14ac:dyDescent="0.2">
      <c r="C16" s="87"/>
      <c r="E16" s="68" t="s">
        <v>249</v>
      </c>
      <c r="F16" s="25"/>
      <c r="G16" s="101">
        <v>0</v>
      </c>
      <c r="H16" s="27"/>
      <c r="I16" s="205"/>
      <c r="J16" s="88"/>
    </row>
    <row r="17" spans="3:10" ht="17" x14ac:dyDescent="0.2">
      <c r="C17" s="87"/>
      <c r="E17" s="68" t="s">
        <v>250</v>
      </c>
      <c r="F17" s="25"/>
      <c r="G17" s="101">
        <v>0</v>
      </c>
      <c r="H17" s="27"/>
      <c r="I17" s="205"/>
      <c r="J17" s="88"/>
    </row>
    <row r="18" spans="3:10" ht="17" x14ac:dyDescent="0.2">
      <c r="C18" s="87"/>
      <c r="E18" s="68" t="s">
        <v>251</v>
      </c>
      <c r="F18" s="19"/>
      <c r="G18" s="101">
        <v>0</v>
      </c>
      <c r="H18" s="30"/>
      <c r="I18" s="205"/>
      <c r="J18" s="88"/>
    </row>
    <row r="19" spans="3:10" x14ac:dyDescent="0.2">
      <c r="C19" s="87"/>
      <c r="E19" s="55"/>
      <c r="F19" s="33"/>
      <c r="G19" s="90"/>
      <c r="H19" s="34"/>
      <c r="I19" s="205"/>
      <c r="J19" s="88"/>
    </row>
    <row r="20" spans="3:10" ht="17" thickBot="1" x14ac:dyDescent="0.25">
      <c r="C20" s="87"/>
      <c r="E20" s="9" t="s">
        <v>252</v>
      </c>
      <c r="F20" s="33"/>
      <c r="G20" s="91">
        <f>$G$9+$G$13</f>
        <v>1500</v>
      </c>
      <c r="H20" s="33"/>
      <c r="I20" s="33"/>
      <c r="J20" s="88"/>
    </row>
    <row r="21" spans="3:10" ht="18" thickTop="1" thickBot="1" x14ac:dyDescent="0.25">
      <c r="C21" s="92"/>
      <c r="D21" s="93"/>
      <c r="E21" s="94"/>
      <c r="F21" s="94"/>
      <c r="G21" s="94"/>
      <c r="H21" s="94"/>
      <c r="I21" s="94"/>
      <c r="J21" s="95"/>
    </row>
    <row r="22" spans="3:10" ht="17" thickTop="1" x14ac:dyDescent="0.2"/>
  </sheetData>
  <sheetProtection sheet="1" objects="1" scenarios="1"/>
  <mergeCells count="1">
    <mergeCell ref="I15:I19"/>
  </mergeCells>
  <hyperlinks>
    <hyperlink ref="B2" location="DSP!A1" display="&lt;&lt; Voltar" xr:uid="{184FB9CB-FEB3-43CE-9420-BCEDC7C69317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72B6-9FCD-44DE-A6B5-24D7D36A1A1A}">
  <sheetPr>
    <pageSetUpPr fitToPage="1"/>
  </sheetPr>
  <dimension ref="B2:L16"/>
  <sheetViews>
    <sheetView showGridLines="0" workbookViewId="0">
      <selection activeCell="G13" sqref="G13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9.6640625" style="4" customWidth="1"/>
    <col min="8" max="8" width="2.6640625" style="4" customWidth="1"/>
    <col min="9" max="9" width="20.6640625" style="4" customWidth="1"/>
    <col min="10" max="10" width="2.6640625" style="4" customWidth="1"/>
    <col min="11" max="11" width="60.6640625" style="4" customWidth="1"/>
    <col min="12" max="12" width="4.6640625" style="4" customWidth="1"/>
    <col min="13" max="16384" width="8.83203125" style="4"/>
  </cols>
  <sheetData>
    <row r="2" spans="2:12" x14ac:dyDescent="0.2">
      <c r="B2" s="83" t="s">
        <v>120</v>
      </c>
      <c r="C2" s="83"/>
      <c r="D2" s="3"/>
    </row>
    <row r="3" spans="2:12" ht="17" thickBot="1" x14ac:dyDescent="0.25"/>
    <row r="4" spans="2:12" ht="17" thickTop="1" x14ac:dyDescent="0.2">
      <c r="C4" s="43"/>
      <c r="D4" s="44"/>
      <c r="E4" s="44"/>
      <c r="F4" s="44"/>
      <c r="G4" s="44"/>
      <c r="H4" s="44"/>
      <c r="I4" s="44"/>
      <c r="J4" s="44"/>
      <c r="K4" s="44"/>
      <c r="L4" s="45"/>
    </row>
    <row r="5" spans="2:12" ht="18" x14ac:dyDescent="0.2">
      <c r="C5" s="46"/>
      <c r="D5" s="111" t="s">
        <v>54</v>
      </c>
      <c r="E5" s="10" t="s">
        <v>253</v>
      </c>
      <c r="F5" s="10"/>
      <c r="G5" s="11"/>
      <c r="H5" s="11"/>
      <c r="K5" s="11"/>
      <c r="L5" s="47"/>
    </row>
    <row r="6" spans="2:12" x14ac:dyDescent="0.2">
      <c r="C6" s="46"/>
      <c r="E6" s="103" t="s">
        <v>238</v>
      </c>
      <c r="F6" s="13"/>
      <c r="G6" s="13"/>
      <c r="H6" s="13"/>
      <c r="I6" s="14"/>
      <c r="J6" s="14"/>
      <c r="K6" s="13"/>
      <c r="L6" s="47"/>
    </row>
    <row r="7" spans="2:12" ht="18" x14ac:dyDescent="0.2">
      <c r="C7" s="46"/>
      <c r="E7" s="14"/>
      <c r="F7" s="14"/>
      <c r="G7" s="14"/>
      <c r="H7" s="14"/>
      <c r="I7" s="15">
        <f>BP!$E$2</f>
        <v>2025</v>
      </c>
      <c r="J7" s="16"/>
      <c r="K7" s="17" t="s">
        <v>123</v>
      </c>
      <c r="L7" s="47"/>
    </row>
    <row r="8" spans="2:12" ht="47" customHeight="1" x14ac:dyDescent="0.2">
      <c r="C8" s="46"/>
      <c r="E8" s="14"/>
      <c r="F8" s="14"/>
      <c r="G8" s="96" t="s">
        <v>254</v>
      </c>
      <c r="H8" s="96"/>
      <c r="I8" s="16"/>
      <c r="J8" s="16"/>
      <c r="K8" s="14"/>
      <c r="L8" s="47"/>
    </row>
    <row r="9" spans="2:12" ht="15" customHeight="1" x14ac:dyDescent="0.2">
      <c r="C9" s="46"/>
      <c r="E9" s="68" t="s">
        <v>255</v>
      </c>
      <c r="F9" s="69"/>
      <c r="G9" s="115">
        <v>0</v>
      </c>
      <c r="H9" s="97"/>
      <c r="I9" s="24">
        <f>IF(G9=0,0,-'C.01'!G11*(1-'C.03'!G9))</f>
        <v>0</v>
      </c>
      <c r="J9" s="27"/>
      <c r="K9" s="204" t="s">
        <v>256</v>
      </c>
      <c r="L9" s="47"/>
    </row>
    <row r="10" spans="2:12" ht="15" customHeight="1" x14ac:dyDescent="0.2">
      <c r="C10" s="46"/>
      <c r="E10" s="68" t="s">
        <v>257</v>
      </c>
      <c r="F10" s="69"/>
      <c r="G10" s="115">
        <v>0</v>
      </c>
      <c r="H10" s="97"/>
      <c r="I10" s="24">
        <f>IF(G10=0,0,-'C.01'!G12*(1-'C.03'!G10))</f>
        <v>0</v>
      </c>
      <c r="J10" s="27"/>
      <c r="K10" s="204"/>
      <c r="L10" s="47"/>
    </row>
    <row r="11" spans="2:12" ht="15" customHeight="1" x14ac:dyDescent="0.2">
      <c r="C11" s="46"/>
      <c r="E11" s="68" t="s">
        <v>258</v>
      </c>
      <c r="F11" s="69"/>
      <c r="G11" s="115">
        <v>0</v>
      </c>
      <c r="H11" s="97"/>
      <c r="I11" s="24">
        <f>IF(G11=0,0,-'C.01'!G13*(1-'C.03'!G11))</f>
        <v>0</v>
      </c>
      <c r="J11" s="27"/>
      <c r="K11" s="204"/>
      <c r="L11" s="47"/>
    </row>
    <row r="12" spans="2:12" ht="15" customHeight="1" x14ac:dyDescent="0.2">
      <c r="C12" s="46"/>
      <c r="E12" s="68" t="s">
        <v>259</v>
      </c>
      <c r="F12" s="69"/>
      <c r="G12" s="115">
        <v>0</v>
      </c>
      <c r="H12" s="97"/>
      <c r="I12" s="24">
        <f>IF(G12=0,0,-'C.01'!G14*(1-'C.03'!G12))</f>
        <v>0</v>
      </c>
      <c r="J12" s="27"/>
      <c r="K12" s="204"/>
      <c r="L12" s="47"/>
    </row>
    <row r="13" spans="2:12" ht="5" customHeight="1" x14ac:dyDescent="0.2">
      <c r="C13" s="46"/>
      <c r="E13" s="55"/>
      <c r="F13" s="55"/>
      <c r="G13" s="19"/>
      <c r="H13" s="19"/>
      <c r="I13" s="72"/>
      <c r="J13" s="30"/>
      <c r="K13" s="204"/>
      <c r="L13" s="47"/>
    </row>
    <row r="14" spans="2:12" ht="17" thickBot="1" x14ac:dyDescent="0.25">
      <c r="C14" s="46"/>
      <c r="E14" s="19" t="s">
        <v>260</v>
      </c>
      <c r="F14" s="19"/>
      <c r="G14" s="25"/>
      <c r="H14" s="25"/>
      <c r="I14" s="98">
        <f>SUM(I9:I13)</f>
        <v>0</v>
      </c>
      <c r="K14" s="204"/>
      <c r="L14" s="47"/>
    </row>
    <row r="15" spans="2:12" ht="18" thickTop="1" thickBot="1" x14ac:dyDescent="0.25">
      <c r="C15" s="48"/>
      <c r="D15" s="49"/>
      <c r="E15" s="49"/>
      <c r="F15" s="49"/>
      <c r="G15" s="49"/>
      <c r="H15" s="49"/>
      <c r="I15" s="49"/>
      <c r="J15" s="49"/>
      <c r="K15" s="49"/>
      <c r="L15" s="50"/>
    </row>
    <row r="16" spans="2:12" ht="17" thickTop="1" x14ac:dyDescent="0.2"/>
  </sheetData>
  <sheetProtection sheet="1" objects="1" scenarios="1"/>
  <mergeCells count="1">
    <mergeCell ref="K9:K14"/>
  </mergeCells>
  <hyperlinks>
    <hyperlink ref="B2" location="DSP!A1" display="&lt;&lt; Voltar" xr:uid="{892D3C37-A656-4666-B1C0-551BD7E65951}"/>
  </hyperlinks>
  <pageMargins left="0.51181102362204722" right="0.51181102362204722" top="0.78740157480314965" bottom="0.78740157480314965" header="0.31496062992125984" footer="0.31496062992125984"/>
  <pageSetup paperSize="9" scale="52" orientation="portrait" blackAndWhite="1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7AFF-1C90-4F47-96D5-25032DC4FDF5}">
  <sheetPr>
    <pageSetUpPr fitToPage="1"/>
  </sheetPr>
  <dimension ref="B2:J21"/>
  <sheetViews>
    <sheetView showGridLines="0" workbookViewId="0">
      <selection activeCell="G19" sqref="G19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116"/>
      <c r="D5" s="111" t="s">
        <v>58</v>
      </c>
      <c r="E5" s="10" t="s">
        <v>261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1"/>
      <c r="F8" s="25"/>
      <c r="H8" s="27"/>
      <c r="I8" s="89"/>
      <c r="J8" s="47"/>
    </row>
    <row r="9" spans="2:10" ht="17" x14ac:dyDescent="0.2">
      <c r="C9" s="46"/>
      <c r="E9" s="68" t="s">
        <v>262</v>
      </c>
      <c r="F9" s="25"/>
      <c r="G9" s="101">
        <v>0</v>
      </c>
      <c r="H9" s="27"/>
      <c r="I9" s="204" t="s">
        <v>263</v>
      </c>
      <c r="J9" s="47"/>
    </row>
    <row r="10" spans="2:10" ht="17" x14ac:dyDescent="0.2">
      <c r="C10" s="46"/>
      <c r="E10" s="68" t="s">
        <v>264</v>
      </c>
      <c r="F10" s="25"/>
      <c r="G10" s="101">
        <v>0</v>
      </c>
      <c r="H10" s="27"/>
      <c r="I10" s="204"/>
      <c r="J10" s="47"/>
    </row>
    <row r="11" spans="2:10" ht="17" x14ac:dyDescent="0.2">
      <c r="C11" s="46"/>
      <c r="E11" s="68" t="s">
        <v>265</v>
      </c>
      <c r="F11" s="25"/>
      <c r="G11" s="101">
        <v>0</v>
      </c>
      <c r="H11" s="27"/>
      <c r="I11" s="204"/>
      <c r="J11" s="47"/>
    </row>
    <row r="12" spans="2:10" ht="17" x14ac:dyDescent="0.2">
      <c r="C12" s="46"/>
      <c r="E12" s="68" t="s">
        <v>266</v>
      </c>
      <c r="F12" s="25"/>
      <c r="G12" s="101">
        <v>0</v>
      </c>
      <c r="H12" s="27"/>
      <c r="I12" s="204"/>
      <c r="J12" s="47"/>
    </row>
    <row r="13" spans="2:10" ht="17" x14ac:dyDescent="0.2">
      <c r="C13" s="46"/>
      <c r="E13" s="68" t="s">
        <v>267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68" t="s">
        <v>268</v>
      </c>
      <c r="F14" s="25"/>
      <c r="G14" s="101">
        <v>0</v>
      </c>
      <c r="H14" s="27"/>
      <c r="I14" s="204"/>
      <c r="J14" s="47"/>
    </row>
    <row r="15" spans="2:10" ht="17" x14ac:dyDescent="0.2">
      <c r="C15" s="46"/>
      <c r="E15" s="68" t="s">
        <v>269</v>
      </c>
      <c r="F15" s="19"/>
      <c r="G15" s="101">
        <v>0</v>
      </c>
      <c r="H15" s="30"/>
      <c r="I15" s="204"/>
      <c r="J15" s="47"/>
    </row>
    <row r="16" spans="2:10" ht="17" x14ac:dyDescent="0.2">
      <c r="C16" s="46"/>
      <c r="E16" s="68" t="s">
        <v>270</v>
      </c>
      <c r="F16" s="19"/>
      <c r="G16" s="101">
        <v>0</v>
      </c>
      <c r="H16" s="30"/>
      <c r="I16" s="204"/>
      <c r="J16" s="47"/>
    </row>
    <row r="17" spans="3:10" ht="17" x14ac:dyDescent="0.2">
      <c r="C17" s="46"/>
      <c r="E17" s="68" t="s">
        <v>271</v>
      </c>
      <c r="F17" s="33"/>
      <c r="G17" s="101">
        <v>0</v>
      </c>
      <c r="H17" s="33"/>
      <c r="I17" s="204"/>
      <c r="J17" s="47"/>
    </row>
    <row r="18" spans="3:10" ht="5" customHeight="1" x14ac:dyDescent="0.2">
      <c r="C18" s="46"/>
      <c r="J18" s="47"/>
    </row>
    <row r="19" spans="3:10" ht="17" thickBot="1" x14ac:dyDescent="0.25">
      <c r="C19" s="46"/>
      <c r="E19" s="11" t="s">
        <v>272</v>
      </c>
      <c r="G19" s="73">
        <f>SUM(G9:G17)</f>
        <v>0</v>
      </c>
      <c r="J19" s="47"/>
    </row>
    <row r="20" spans="3:10" ht="18" thickTop="1" thickBot="1" x14ac:dyDescent="0.25">
      <c r="C20" s="48"/>
      <c r="D20" s="49"/>
      <c r="E20" s="49"/>
      <c r="F20" s="49"/>
      <c r="G20" s="49"/>
      <c r="H20" s="49"/>
      <c r="I20" s="49"/>
      <c r="J20" s="50"/>
    </row>
    <row r="21" spans="3:10" ht="17" thickTop="1" x14ac:dyDescent="0.2"/>
  </sheetData>
  <sheetProtection sheet="1" objects="1" scenarios="1"/>
  <mergeCells count="1">
    <mergeCell ref="I9:I17"/>
  </mergeCells>
  <hyperlinks>
    <hyperlink ref="B2" location="DSP!A1" display="&lt;&lt; Voltar" xr:uid="{E4B19A1A-43F2-40C6-AF9C-AE4DDF621961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E54C-3E46-488D-A5FE-D22102C240FA}">
  <sheetPr>
    <pageSetUpPr fitToPage="1"/>
  </sheetPr>
  <dimension ref="B2:J22"/>
  <sheetViews>
    <sheetView showGridLines="0" workbookViewId="0">
      <selection activeCell="G19" sqref="G19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60</v>
      </c>
      <c r="E5" s="10" t="s">
        <v>273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68" t="s">
        <v>274</v>
      </c>
      <c r="F9" s="25"/>
      <c r="G9" s="101">
        <v>0</v>
      </c>
      <c r="H9" s="27"/>
      <c r="I9" s="204" t="s">
        <v>275</v>
      </c>
      <c r="J9" s="47"/>
    </row>
    <row r="10" spans="2:10" ht="17" x14ac:dyDescent="0.2">
      <c r="C10" s="46"/>
      <c r="E10" s="68" t="s">
        <v>276</v>
      </c>
      <c r="F10" s="25"/>
      <c r="G10" s="101">
        <v>0</v>
      </c>
      <c r="H10" s="27"/>
      <c r="I10" s="204"/>
      <c r="J10" s="47"/>
    </row>
    <row r="11" spans="2:10" ht="17" x14ac:dyDescent="0.2">
      <c r="C11" s="46"/>
      <c r="E11" s="68" t="s">
        <v>277</v>
      </c>
      <c r="F11" s="25"/>
      <c r="G11" s="101">
        <v>0</v>
      </c>
      <c r="H11" s="27"/>
      <c r="I11" s="204"/>
      <c r="J11" s="47"/>
    </row>
    <row r="12" spans="2:10" ht="17" x14ac:dyDescent="0.2">
      <c r="C12" s="46"/>
      <c r="E12" s="68" t="s">
        <v>278</v>
      </c>
      <c r="F12" s="25"/>
      <c r="G12" s="101">
        <v>0</v>
      </c>
      <c r="H12" s="27"/>
      <c r="I12" s="204"/>
      <c r="J12" s="47"/>
    </row>
    <row r="13" spans="2:10" ht="17" x14ac:dyDescent="0.2">
      <c r="C13" s="46"/>
      <c r="E13" s="68" t="s">
        <v>279</v>
      </c>
      <c r="F13" s="25"/>
      <c r="G13" s="101">
        <v>0</v>
      </c>
      <c r="H13" s="27"/>
      <c r="I13" s="204"/>
      <c r="J13" s="47"/>
    </row>
    <row r="14" spans="2:10" ht="17" x14ac:dyDescent="0.2">
      <c r="C14" s="46"/>
      <c r="E14" s="68" t="s">
        <v>280</v>
      </c>
      <c r="F14" s="19"/>
      <c r="G14" s="101">
        <v>0</v>
      </c>
      <c r="H14" s="27"/>
      <c r="I14" s="204"/>
      <c r="J14" s="47"/>
    </row>
    <row r="15" spans="2:10" ht="17" x14ac:dyDescent="0.2">
      <c r="C15" s="46"/>
      <c r="E15" s="68" t="s">
        <v>281</v>
      </c>
      <c r="F15" s="19"/>
      <c r="G15" s="101">
        <v>0</v>
      </c>
      <c r="H15" s="27"/>
      <c r="I15" s="204"/>
      <c r="J15" s="47"/>
    </row>
    <row r="16" spans="2:10" ht="17" x14ac:dyDescent="0.2">
      <c r="C16" s="46"/>
      <c r="E16" s="68" t="s">
        <v>282</v>
      </c>
      <c r="F16" s="25"/>
      <c r="G16" s="101">
        <v>0</v>
      </c>
      <c r="H16" s="27"/>
      <c r="I16" s="204"/>
      <c r="J16" s="47"/>
    </row>
    <row r="17" spans="3:10" ht="17" x14ac:dyDescent="0.2">
      <c r="C17" s="46"/>
      <c r="E17" s="68" t="s">
        <v>283</v>
      </c>
      <c r="F17" s="25"/>
      <c r="G17" s="101">
        <v>0</v>
      </c>
      <c r="H17" s="27"/>
      <c r="I17" s="204"/>
      <c r="J17" s="47"/>
    </row>
    <row r="18" spans="3:10" ht="17" x14ac:dyDescent="0.2">
      <c r="C18" s="46"/>
      <c r="E18" s="68" t="s">
        <v>284</v>
      </c>
      <c r="F18" s="19"/>
      <c r="G18" s="101">
        <v>0</v>
      </c>
      <c r="H18" s="30"/>
      <c r="I18" s="204"/>
      <c r="J18" s="47"/>
    </row>
    <row r="19" spans="3:10" ht="5" customHeight="1" x14ac:dyDescent="0.2">
      <c r="C19" s="46"/>
      <c r="E19" s="25"/>
      <c r="F19" s="25"/>
      <c r="G19" s="31"/>
      <c r="H19" s="31"/>
      <c r="I19" s="25"/>
      <c r="J19" s="47"/>
    </row>
    <row r="20" spans="3:10" ht="17" thickBot="1" x14ac:dyDescent="0.25">
      <c r="C20" s="46"/>
      <c r="E20" s="11" t="s">
        <v>285</v>
      </c>
      <c r="G20" s="73">
        <f>SUM(G9:G18)</f>
        <v>0</v>
      </c>
      <c r="J20" s="47"/>
    </row>
    <row r="21" spans="3:10" ht="18" thickTop="1" thickBot="1" x14ac:dyDescent="0.25">
      <c r="C21" s="48"/>
      <c r="D21" s="49"/>
      <c r="E21" s="49"/>
      <c r="F21" s="49"/>
      <c r="G21" s="49"/>
      <c r="H21" s="49"/>
      <c r="I21" s="49"/>
      <c r="J21" s="50"/>
    </row>
    <row r="22" spans="3:10" ht="17" thickTop="1" x14ac:dyDescent="0.2"/>
  </sheetData>
  <sheetProtection sheet="1" objects="1" scenarios="1"/>
  <mergeCells count="1">
    <mergeCell ref="I9:I18"/>
  </mergeCells>
  <hyperlinks>
    <hyperlink ref="B2" location="DSP!A1" display="&lt;&lt; Voltar" xr:uid="{E6DCC355-6E31-4682-B10A-ABE7B22ADA4F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6ACD-B20D-4DC8-997B-9A218DE38C5B}">
  <sheetPr>
    <pageSetUpPr fitToPage="1"/>
  </sheetPr>
  <dimension ref="B2:J22"/>
  <sheetViews>
    <sheetView showGridLines="0" workbookViewId="0">
      <selection activeCell="G19" sqref="G19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62</v>
      </c>
      <c r="E5" s="10" t="s">
        <v>286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68" t="s">
        <v>287</v>
      </c>
      <c r="F9" s="25"/>
      <c r="G9" s="101">
        <v>0</v>
      </c>
      <c r="H9" s="27"/>
      <c r="I9" s="205" t="s">
        <v>288</v>
      </c>
      <c r="J9" s="47"/>
    </row>
    <row r="10" spans="2:10" ht="17" x14ac:dyDescent="0.2">
      <c r="C10" s="46"/>
      <c r="E10" s="68" t="s">
        <v>289</v>
      </c>
      <c r="F10" s="25"/>
      <c r="G10" s="101">
        <v>0</v>
      </c>
      <c r="H10" s="27"/>
      <c r="I10" s="205"/>
      <c r="J10" s="47"/>
    </row>
    <row r="11" spans="2:10" ht="17" x14ac:dyDescent="0.2">
      <c r="C11" s="46"/>
      <c r="E11" s="68" t="s">
        <v>290</v>
      </c>
      <c r="F11" s="25"/>
      <c r="G11" s="101">
        <v>0</v>
      </c>
      <c r="H11" s="27"/>
      <c r="I11" s="205"/>
      <c r="J11" s="47"/>
    </row>
    <row r="12" spans="2:10" ht="17" x14ac:dyDescent="0.2">
      <c r="C12" s="46"/>
      <c r="E12" s="68" t="s">
        <v>291</v>
      </c>
      <c r="F12" s="25"/>
      <c r="G12" s="101">
        <v>0</v>
      </c>
      <c r="H12" s="27"/>
      <c r="I12" s="205"/>
      <c r="J12" s="47"/>
    </row>
    <row r="13" spans="2:10" ht="17" x14ac:dyDescent="0.2">
      <c r="C13" s="46"/>
      <c r="E13" s="68" t="s">
        <v>292</v>
      </c>
      <c r="F13" s="25"/>
      <c r="G13" s="101">
        <v>0</v>
      </c>
      <c r="H13" s="27"/>
      <c r="I13" s="205"/>
      <c r="J13" s="47"/>
    </row>
    <row r="14" spans="2:10" ht="17" x14ac:dyDescent="0.2">
      <c r="C14" s="46"/>
      <c r="E14" s="68" t="s">
        <v>293</v>
      </c>
      <c r="F14" s="25"/>
      <c r="G14" s="101">
        <v>0</v>
      </c>
      <c r="H14" s="27"/>
      <c r="I14" s="205"/>
      <c r="J14" s="47"/>
    </row>
    <row r="15" spans="2:10" ht="17" x14ac:dyDescent="0.2">
      <c r="C15" s="46"/>
      <c r="E15" s="68" t="s">
        <v>294</v>
      </c>
      <c r="F15" s="25"/>
      <c r="G15" s="101">
        <v>0</v>
      </c>
      <c r="H15" s="27"/>
      <c r="I15" s="205"/>
      <c r="J15" s="47"/>
    </row>
    <row r="16" spans="2:10" ht="17" x14ac:dyDescent="0.2">
      <c r="C16" s="46"/>
      <c r="E16" s="68" t="s">
        <v>295</v>
      </c>
      <c r="F16" s="25"/>
      <c r="G16" s="101">
        <v>0</v>
      </c>
      <c r="H16" s="27"/>
      <c r="I16" s="205"/>
      <c r="J16" s="47"/>
    </row>
    <row r="17" spans="3:10" ht="17" x14ac:dyDescent="0.2">
      <c r="C17" s="46"/>
      <c r="E17" s="68" t="s">
        <v>296</v>
      </c>
      <c r="F17" s="19"/>
      <c r="G17" s="101">
        <v>0</v>
      </c>
      <c r="H17" s="27"/>
      <c r="I17" s="205"/>
      <c r="J17" s="47"/>
    </row>
    <row r="18" spans="3:10" ht="17" x14ac:dyDescent="0.2">
      <c r="C18" s="46"/>
      <c r="E18" s="68" t="s">
        <v>297</v>
      </c>
      <c r="F18" s="19"/>
      <c r="G18" s="101">
        <v>0</v>
      </c>
      <c r="H18" s="27"/>
      <c r="I18" s="205"/>
      <c r="J18" s="47"/>
    </row>
    <row r="19" spans="3:10" ht="5" customHeight="1" x14ac:dyDescent="0.2">
      <c r="C19" s="46"/>
      <c r="E19" s="33"/>
      <c r="F19" s="33"/>
      <c r="G19" s="33"/>
      <c r="H19" s="33"/>
      <c r="I19" s="33"/>
      <c r="J19" s="47"/>
    </row>
    <row r="20" spans="3:10" ht="17" thickBot="1" x14ac:dyDescent="0.25">
      <c r="C20" s="46"/>
      <c r="E20" s="11" t="s">
        <v>298</v>
      </c>
      <c r="G20" s="73">
        <f>SUM(G9:G18)</f>
        <v>0</v>
      </c>
      <c r="J20" s="47"/>
    </row>
    <row r="21" spans="3:10" ht="18" thickTop="1" thickBot="1" x14ac:dyDescent="0.25">
      <c r="C21" s="48"/>
      <c r="D21" s="49"/>
      <c r="E21" s="49"/>
      <c r="F21" s="49"/>
      <c r="G21" s="49"/>
      <c r="H21" s="49"/>
      <c r="I21" s="49"/>
      <c r="J21" s="50"/>
    </row>
    <row r="22" spans="3:10" ht="17" thickTop="1" x14ac:dyDescent="0.2"/>
  </sheetData>
  <sheetProtection sheet="1" objects="1" scenarios="1"/>
  <mergeCells count="1">
    <mergeCell ref="I9:I18"/>
  </mergeCells>
  <hyperlinks>
    <hyperlink ref="B2" location="DSP!A1" display="&lt;&lt; Voltar" xr:uid="{72C0755B-6D1C-4DAA-A8DE-A81D68D294C8}"/>
  </hyperlinks>
  <pageMargins left="0.51181102362204722" right="0.51181102362204722" top="0.78740157480314965" bottom="0.78740157480314965" header="0.31496062992125984" footer="0.31496062992125984"/>
  <pageSetup paperSize="9" scale="57" orientation="portrait" draft="1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F318-CF7C-4EFC-8E43-6D8168866FB5}">
  <sheetPr>
    <pageSetUpPr fitToPage="1"/>
  </sheetPr>
  <dimension ref="B2:J16"/>
  <sheetViews>
    <sheetView showGridLines="0" workbookViewId="0">
      <selection activeCell="G13" sqref="G13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64</v>
      </c>
      <c r="E5" s="10" t="s">
        <v>299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68" t="s">
        <v>300</v>
      </c>
      <c r="F9" s="25"/>
      <c r="G9" s="101">
        <v>0</v>
      </c>
      <c r="H9" s="27"/>
      <c r="I9" s="205" t="s">
        <v>301</v>
      </c>
      <c r="J9" s="47"/>
    </row>
    <row r="10" spans="2:10" ht="17" x14ac:dyDescent="0.2">
      <c r="C10" s="46"/>
      <c r="E10" s="68" t="s">
        <v>302</v>
      </c>
      <c r="F10" s="25"/>
      <c r="G10" s="101">
        <v>0</v>
      </c>
      <c r="H10" s="27"/>
      <c r="I10" s="205"/>
      <c r="J10" s="47"/>
    </row>
    <row r="11" spans="2:10" ht="17" x14ac:dyDescent="0.2">
      <c r="C11" s="46"/>
      <c r="E11" s="68" t="s">
        <v>303</v>
      </c>
      <c r="F11" s="25"/>
      <c r="G11" s="101">
        <v>0</v>
      </c>
      <c r="H11" s="27"/>
      <c r="I11" s="205"/>
      <c r="J11" s="47"/>
    </row>
    <row r="12" spans="2:10" ht="17" x14ac:dyDescent="0.2">
      <c r="C12" s="46"/>
      <c r="E12" s="68" t="s">
        <v>304</v>
      </c>
      <c r="F12" s="25"/>
      <c r="G12" s="101">
        <v>0</v>
      </c>
      <c r="H12" s="27"/>
      <c r="I12" s="205"/>
      <c r="J12" s="47"/>
    </row>
    <row r="13" spans="2:10" ht="5" customHeight="1" x14ac:dyDescent="0.2">
      <c r="C13" s="46"/>
      <c r="E13" s="33"/>
      <c r="F13" s="33"/>
      <c r="G13" s="33"/>
      <c r="H13" s="33"/>
      <c r="I13" s="33"/>
      <c r="J13" s="47"/>
    </row>
    <row r="14" spans="2:10" ht="17" thickBot="1" x14ac:dyDescent="0.25">
      <c r="C14" s="46"/>
      <c r="E14" s="11" t="s">
        <v>305</v>
      </c>
      <c r="G14" s="73">
        <f>SUM(G9:G12)</f>
        <v>0</v>
      </c>
      <c r="J14" s="47"/>
    </row>
    <row r="15" spans="2:10" ht="18" thickTop="1" thickBot="1" x14ac:dyDescent="0.25">
      <c r="C15" s="48"/>
      <c r="D15" s="49"/>
      <c r="E15" s="49"/>
      <c r="F15" s="49"/>
      <c r="G15" s="49"/>
      <c r="H15" s="49"/>
      <c r="I15" s="49"/>
      <c r="J15" s="50"/>
    </row>
    <row r="16" spans="2:10" ht="17" thickTop="1" x14ac:dyDescent="0.2"/>
  </sheetData>
  <sheetProtection sheet="1" objects="1" scenarios="1"/>
  <mergeCells count="1">
    <mergeCell ref="I9:I12"/>
  </mergeCells>
  <hyperlinks>
    <hyperlink ref="B2" location="DSP!A1" display="&lt;&lt; Voltar" xr:uid="{6597EDBD-EC1B-4014-B312-11A1D0B21492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39CC-6C1D-487F-91F9-D8FACB14FAB0}">
  <sheetPr>
    <pageSetUpPr fitToPage="1"/>
  </sheetPr>
  <dimension ref="B2:J21"/>
  <sheetViews>
    <sheetView showGridLines="0" workbookViewId="0">
      <selection activeCell="G18" sqref="G18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66</v>
      </c>
      <c r="E5" s="10" t="s">
        <v>306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68" t="s">
        <v>307</v>
      </c>
      <c r="F9" s="25"/>
      <c r="G9" s="101">
        <v>0</v>
      </c>
      <c r="H9" s="27"/>
      <c r="I9" s="205" t="s">
        <v>308</v>
      </c>
      <c r="J9" s="47"/>
    </row>
    <row r="10" spans="2:10" ht="17" x14ac:dyDescent="0.2">
      <c r="C10" s="46"/>
      <c r="E10" s="68" t="s">
        <v>309</v>
      </c>
      <c r="F10" s="25"/>
      <c r="G10" s="101">
        <v>0</v>
      </c>
      <c r="H10" s="27"/>
      <c r="I10" s="205"/>
      <c r="J10" s="47"/>
    </row>
    <row r="11" spans="2:10" ht="17" x14ac:dyDescent="0.2">
      <c r="C11" s="46"/>
      <c r="E11" s="68" t="s">
        <v>310</v>
      </c>
      <c r="F11" s="25"/>
      <c r="G11" s="101">
        <v>0</v>
      </c>
      <c r="H11" s="27"/>
      <c r="I11" s="205"/>
      <c r="J11" s="47"/>
    </row>
    <row r="12" spans="2:10" ht="5" customHeight="1" x14ac:dyDescent="0.2">
      <c r="C12" s="46"/>
      <c r="E12" s="55"/>
      <c r="F12" s="25"/>
      <c r="G12" s="99"/>
      <c r="H12" s="27"/>
      <c r="I12" s="100"/>
      <c r="J12" s="47"/>
    </row>
    <row r="13" spans="2:10" ht="17" thickBot="1" x14ac:dyDescent="0.25">
      <c r="C13" s="46"/>
      <c r="E13" s="11" t="s">
        <v>311</v>
      </c>
      <c r="F13" s="25"/>
      <c r="G13" s="73">
        <f>SUM(G9:G11)</f>
        <v>0</v>
      </c>
      <c r="H13" s="27"/>
      <c r="I13" s="100"/>
      <c r="J13" s="47"/>
    </row>
    <row r="14" spans="2:10" ht="17" thickTop="1" x14ac:dyDescent="0.2">
      <c r="C14" s="46"/>
      <c r="E14" s="25"/>
      <c r="F14" s="25"/>
      <c r="G14" s="31"/>
      <c r="H14" s="31"/>
      <c r="I14" s="25"/>
      <c r="J14" s="47"/>
    </row>
    <row r="15" spans="2:10" ht="17" x14ac:dyDescent="0.2">
      <c r="C15" s="46"/>
      <c r="E15" s="68" t="s">
        <v>312</v>
      </c>
      <c r="F15" s="25"/>
      <c r="G15" s="101">
        <v>0</v>
      </c>
      <c r="H15" s="27"/>
      <c r="I15" s="205" t="s">
        <v>313</v>
      </c>
      <c r="J15" s="47"/>
    </row>
    <row r="16" spans="2:10" ht="17" x14ac:dyDescent="0.2">
      <c r="C16" s="46"/>
      <c r="E16" s="68" t="s">
        <v>314</v>
      </c>
      <c r="F16" s="25"/>
      <c r="G16" s="101">
        <v>0</v>
      </c>
      <c r="H16" s="27"/>
      <c r="I16" s="205"/>
      <c r="J16" s="47"/>
    </row>
    <row r="17" spans="3:10" ht="17" x14ac:dyDescent="0.2">
      <c r="C17" s="46"/>
      <c r="E17" s="68" t="s">
        <v>315</v>
      </c>
      <c r="F17" s="25"/>
      <c r="G17" s="101">
        <v>0</v>
      </c>
      <c r="H17" s="27"/>
      <c r="I17" s="205"/>
      <c r="J17" s="47"/>
    </row>
    <row r="18" spans="3:10" ht="5" customHeight="1" x14ac:dyDescent="0.2">
      <c r="C18" s="46"/>
      <c r="E18" s="33"/>
      <c r="F18" s="33"/>
      <c r="G18" s="33"/>
      <c r="H18" s="33"/>
      <c r="I18" s="33"/>
      <c r="J18" s="47"/>
    </row>
    <row r="19" spans="3:10" ht="17" thickBot="1" x14ac:dyDescent="0.25">
      <c r="C19" s="46"/>
      <c r="E19" s="11" t="s">
        <v>316</v>
      </c>
      <c r="F19" s="25"/>
      <c r="G19" s="73">
        <f>SUM(G15:G17)</f>
        <v>0</v>
      </c>
      <c r="J19" s="47"/>
    </row>
    <row r="20" spans="3:10" ht="18" thickTop="1" thickBot="1" x14ac:dyDescent="0.25">
      <c r="C20" s="48"/>
      <c r="D20" s="49"/>
      <c r="E20" s="49"/>
      <c r="F20" s="49"/>
      <c r="G20" s="49"/>
      <c r="H20" s="49"/>
      <c r="I20" s="49"/>
      <c r="J20" s="50"/>
    </row>
    <row r="21" spans="3:10" ht="17" thickTop="1" x14ac:dyDescent="0.2"/>
  </sheetData>
  <sheetProtection sheet="1" objects="1" scenarios="1"/>
  <mergeCells count="2">
    <mergeCell ref="I9:I11"/>
    <mergeCell ref="I15:I17"/>
  </mergeCells>
  <hyperlinks>
    <hyperlink ref="B2" location="DSP!A1" display="&lt;&lt; Voltar" xr:uid="{5C7A35D3-AE26-4EFA-89CE-9F22F59E72DD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004B-1C06-44CF-A0D2-8AEB8784314B}">
  <sheetPr>
    <pageSetUpPr fitToPage="1"/>
  </sheetPr>
  <dimension ref="B2:J24"/>
  <sheetViews>
    <sheetView showGridLines="0" workbookViewId="0">
      <selection activeCell="G21" sqref="G21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71</v>
      </c>
      <c r="E5" s="10" t="s">
        <v>317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ht="17" x14ac:dyDescent="0.2">
      <c r="C9" s="46"/>
      <c r="E9" s="68" t="s">
        <v>318</v>
      </c>
      <c r="F9" s="25"/>
      <c r="G9" s="101">
        <v>0</v>
      </c>
      <c r="H9" s="27"/>
      <c r="I9" s="204" t="s">
        <v>319</v>
      </c>
      <c r="J9" s="47"/>
    </row>
    <row r="10" spans="2:10" ht="17" x14ac:dyDescent="0.2">
      <c r="C10" s="46"/>
      <c r="E10" s="68" t="s">
        <v>320</v>
      </c>
      <c r="F10" s="25"/>
      <c r="G10" s="101">
        <v>0</v>
      </c>
      <c r="H10" s="27"/>
      <c r="I10" s="204"/>
      <c r="J10" s="47"/>
    </row>
    <row r="11" spans="2:10" ht="17" x14ac:dyDescent="0.2">
      <c r="C11" s="46"/>
      <c r="E11" s="68" t="s">
        <v>321</v>
      </c>
      <c r="F11" s="25"/>
      <c r="G11" s="101">
        <v>0</v>
      </c>
      <c r="H11" s="27"/>
      <c r="I11" s="204"/>
      <c r="J11" s="47"/>
    </row>
    <row r="12" spans="2:10" ht="17" x14ac:dyDescent="0.2">
      <c r="C12" s="46"/>
      <c r="E12" s="68" t="s">
        <v>322</v>
      </c>
      <c r="F12" s="25"/>
      <c r="G12" s="101">
        <v>0</v>
      </c>
      <c r="H12" s="27"/>
      <c r="I12" s="204"/>
      <c r="J12" s="47"/>
    </row>
    <row r="13" spans="2:10" ht="5" customHeight="1" x14ac:dyDescent="0.2">
      <c r="C13" s="46"/>
      <c r="E13" s="55"/>
      <c r="F13" s="25"/>
      <c r="G13" s="99"/>
      <c r="H13" s="27"/>
      <c r="I13" s="100"/>
      <c r="J13" s="47"/>
    </row>
    <row r="14" spans="2:10" ht="17" thickBot="1" x14ac:dyDescent="0.25">
      <c r="C14" s="46"/>
      <c r="E14" s="11" t="s">
        <v>323</v>
      </c>
      <c r="F14" s="25"/>
      <c r="G14" s="73">
        <f>SUM(G9:G12)</f>
        <v>0</v>
      </c>
      <c r="H14" s="27"/>
      <c r="I14" s="100"/>
      <c r="J14" s="47"/>
    </row>
    <row r="15" spans="2:10" ht="17" thickTop="1" x14ac:dyDescent="0.2">
      <c r="C15" s="46"/>
      <c r="E15" s="25"/>
      <c r="F15" s="25"/>
      <c r="G15" s="31"/>
      <c r="H15" s="31"/>
      <c r="I15" s="25"/>
      <c r="J15" s="47"/>
    </row>
    <row r="16" spans="2:10" ht="17" x14ac:dyDescent="0.2">
      <c r="C16" s="46"/>
      <c r="E16" s="68" t="s">
        <v>324</v>
      </c>
      <c r="F16" s="25"/>
      <c r="G16" s="101">
        <v>0</v>
      </c>
      <c r="H16" s="27"/>
      <c r="I16" s="204" t="s">
        <v>325</v>
      </c>
      <c r="J16" s="47"/>
    </row>
    <row r="17" spans="3:10" ht="17" x14ac:dyDescent="0.2">
      <c r="C17" s="46"/>
      <c r="E17" s="68" t="s">
        <v>326</v>
      </c>
      <c r="F17" s="25"/>
      <c r="G17" s="101">
        <v>0</v>
      </c>
      <c r="H17" s="27"/>
      <c r="I17" s="204"/>
      <c r="J17" s="47"/>
    </row>
    <row r="18" spans="3:10" ht="17" x14ac:dyDescent="0.2">
      <c r="C18" s="46"/>
      <c r="E18" s="68" t="s">
        <v>327</v>
      </c>
      <c r="F18" s="25"/>
      <c r="G18" s="101">
        <v>0</v>
      </c>
      <c r="H18" s="27"/>
      <c r="I18" s="204"/>
      <c r="J18" s="47"/>
    </row>
    <row r="19" spans="3:10" ht="17" x14ac:dyDescent="0.2">
      <c r="C19" s="46"/>
      <c r="E19" s="68" t="s">
        <v>328</v>
      </c>
      <c r="F19" s="25"/>
      <c r="G19" s="101">
        <v>0</v>
      </c>
      <c r="H19" s="27"/>
      <c r="I19" s="204"/>
      <c r="J19" s="47"/>
    </row>
    <row r="20" spans="3:10" ht="17" x14ac:dyDescent="0.2">
      <c r="C20" s="46"/>
      <c r="E20" s="68" t="s">
        <v>329</v>
      </c>
      <c r="F20" s="19"/>
      <c r="G20" s="101">
        <v>0</v>
      </c>
      <c r="H20" s="30"/>
      <c r="I20" s="1"/>
      <c r="J20" s="47"/>
    </row>
    <row r="21" spans="3:10" ht="5" customHeight="1" x14ac:dyDescent="0.2">
      <c r="C21" s="46"/>
      <c r="E21" s="33"/>
      <c r="F21" s="33"/>
      <c r="G21" s="34"/>
      <c r="H21" s="34"/>
      <c r="I21" s="33"/>
      <c r="J21" s="47"/>
    </row>
    <row r="22" spans="3:10" ht="17" thickBot="1" x14ac:dyDescent="0.25">
      <c r="C22" s="46"/>
      <c r="E22" s="11" t="s">
        <v>330</v>
      </c>
      <c r="F22" s="25"/>
      <c r="G22" s="73">
        <f>SUM(G16:G20)</f>
        <v>0</v>
      </c>
      <c r="H22" s="33"/>
      <c r="I22" s="33"/>
      <c r="J22" s="47"/>
    </row>
    <row r="23" spans="3:10" ht="18" thickTop="1" thickBot="1" x14ac:dyDescent="0.25">
      <c r="C23" s="48"/>
      <c r="D23" s="49"/>
      <c r="E23" s="57"/>
      <c r="F23" s="57"/>
      <c r="G23" s="57"/>
      <c r="H23" s="57"/>
      <c r="I23" s="57"/>
      <c r="J23" s="50"/>
    </row>
    <row r="24" spans="3:10" ht="17" thickTop="1" x14ac:dyDescent="0.2"/>
  </sheetData>
  <sheetProtection sheet="1" objects="1" scenarios="1"/>
  <mergeCells count="2">
    <mergeCell ref="I9:I12"/>
    <mergeCell ref="I16:I19"/>
  </mergeCells>
  <hyperlinks>
    <hyperlink ref="B2" location="DSP!A1" display="&lt;&lt; Voltar" xr:uid="{1FBD560D-9749-4921-A409-F43CB6B4166D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597B-82DA-4927-86C9-341D556F3109}">
  <sheetPr>
    <pageSetUpPr fitToPage="1"/>
  </sheetPr>
  <dimension ref="B2:J15"/>
  <sheetViews>
    <sheetView showGridLines="0" workbookViewId="0">
      <selection activeCell="I22" sqref="I22"/>
    </sheetView>
  </sheetViews>
  <sheetFormatPr baseColWidth="10" defaultColWidth="8.83203125" defaultRowHeight="16" x14ac:dyDescent="0.2"/>
  <cols>
    <col min="1" max="1" width="4.6640625" style="4" customWidth="1"/>
    <col min="2" max="2" width="9.5" style="4" bestFit="1" customWidth="1"/>
    <col min="3" max="3" width="4.6640625" style="4" customWidth="1"/>
    <col min="4" max="4" width="6.6640625" style="4" bestFit="1" customWidth="1"/>
    <col min="5" max="5" width="60.6640625" style="4" customWidth="1"/>
    <col min="6" max="6" width="2.6640625" style="4" customWidth="1"/>
    <col min="7" max="7" width="20.6640625" style="4" customWidth="1"/>
    <col min="8" max="8" width="2.6640625" style="4" customWidth="1"/>
    <col min="9" max="9" width="60.6640625" style="4" customWidth="1"/>
    <col min="10" max="10" width="4.6640625" style="4" customWidth="1"/>
    <col min="11" max="16384" width="8.83203125" style="4"/>
  </cols>
  <sheetData>
    <row r="2" spans="2:10" x14ac:dyDescent="0.2">
      <c r="B2" s="83" t="s">
        <v>120</v>
      </c>
      <c r="C2" s="83"/>
      <c r="D2" s="3"/>
    </row>
    <row r="3" spans="2:10" ht="17" thickBot="1" x14ac:dyDescent="0.25"/>
    <row r="4" spans="2:10" ht="17" thickTop="1" x14ac:dyDescent="0.2">
      <c r="C4" s="43"/>
      <c r="D4" s="44"/>
      <c r="E4" s="44"/>
      <c r="F4" s="44"/>
      <c r="G4" s="44"/>
      <c r="H4" s="44"/>
      <c r="I4" s="44"/>
      <c r="J4" s="45"/>
    </row>
    <row r="5" spans="2:10" ht="18" x14ac:dyDescent="0.2">
      <c r="C5" s="46"/>
      <c r="D5" s="111" t="s">
        <v>75</v>
      </c>
      <c r="E5" s="10" t="s">
        <v>331</v>
      </c>
      <c r="F5" s="11"/>
      <c r="I5" s="11"/>
      <c r="J5" s="47"/>
    </row>
    <row r="6" spans="2:10" x14ac:dyDescent="0.2">
      <c r="C6" s="46"/>
      <c r="E6" s="103" t="s">
        <v>238</v>
      </c>
      <c r="F6" s="13"/>
      <c r="G6" s="14"/>
      <c r="H6" s="14"/>
      <c r="I6" s="13"/>
      <c r="J6" s="47"/>
    </row>
    <row r="7" spans="2:10" ht="18" x14ac:dyDescent="0.2">
      <c r="C7" s="46"/>
      <c r="E7" s="14"/>
      <c r="F7" s="14"/>
      <c r="G7" s="15">
        <f>BP!$E$2</f>
        <v>2025</v>
      </c>
      <c r="H7" s="16"/>
      <c r="I7" s="17" t="s">
        <v>123</v>
      </c>
      <c r="J7" s="47"/>
    </row>
    <row r="8" spans="2:10" x14ac:dyDescent="0.2">
      <c r="C8" s="46"/>
      <c r="E8" s="14"/>
      <c r="F8" s="14"/>
      <c r="G8" s="16"/>
      <c r="H8" s="16"/>
      <c r="I8" s="14"/>
      <c r="J8" s="47"/>
    </row>
    <row r="9" spans="2:10" x14ac:dyDescent="0.2">
      <c r="C9" s="46"/>
      <c r="E9" s="11"/>
      <c r="F9" s="25"/>
      <c r="H9" s="27"/>
      <c r="I9" s="205" t="s">
        <v>332</v>
      </c>
      <c r="J9" s="47"/>
    </row>
    <row r="10" spans="2:10" ht="17" x14ac:dyDescent="0.2">
      <c r="C10" s="46"/>
      <c r="E10" s="29" t="s">
        <v>333</v>
      </c>
      <c r="F10" s="25"/>
      <c r="G10" s="101">
        <v>0</v>
      </c>
      <c r="H10" s="27"/>
      <c r="I10" s="205"/>
      <c r="J10" s="47"/>
    </row>
    <row r="11" spans="2:10" ht="17" x14ac:dyDescent="0.2">
      <c r="C11" s="46"/>
      <c r="E11" s="29" t="s">
        <v>334</v>
      </c>
      <c r="F11" s="25"/>
      <c r="G11" s="101">
        <v>0</v>
      </c>
      <c r="H11" s="27"/>
      <c r="I11" s="205"/>
      <c r="J11" s="47"/>
    </row>
    <row r="12" spans="2:10" ht="5" customHeight="1" x14ac:dyDescent="0.2">
      <c r="C12" s="46"/>
      <c r="E12" s="33"/>
      <c r="F12" s="33"/>
      <c r="G12" s="33"/>
      <c r="H12" s="33"/>
      <c r="I12" s="33"/>
      <c r="J12" s="47"/>
    </row>
    <row r="13" spans="2:10" ht="17" thickBot="1" x14ac:dyDescent="0.25">
      <c r="C13" s="46"/>
      <c r="E13" s="11" t="s">
        <v>335</v>
      </c>
      <c r="F13" s="33"/>
      <c r="G13" s="73">
        <f>SUM(G10:G11)</f>
        <v>0</v>
      </c>
      <c r="H13" s="33"/>
      <c r="I13" s="33"/>
      <c r="J13" s="47"/>
    </row>
    <row r="14" spans="2:10" ht="18" thickTop="1" thickBot="1" x14ac:dyDescent="0.25">
      <c r="C14" s="48"/>
      <c r="D14" s="49"/>
      <c r="E14" s="49"/>
      <c r="F14" s="49"/>
      <c r="G14" s="49"/>
      <c r="H14" s="49"/>
      <c r="I14" s="49"/>
      <c r="J14" s="50"/>
    </row>
    <row r="15" spans="2:10" ht="17" thickTop="1" x14ac:dyDescent="0.2"/>
  </sheetData>
  <sheetProtection sheet="1" objects="1" scenarios="1"/>
  <mergeCells count="1">
    <mergeCell ref="I9:I11"/>
  </mergeCells>
  <hyperlinks>
    <hyperlink ref="B2" location="DSP!A1" display="&lt;&lt; Voltar" xr:uid="{4329C28E-4F8C-48CE-9D89-1842A928CCBD}"/>
  </hyperlinks>
  <pageMargins left="0.51181102362204722" right="0.51181102362204722" top="0.78740157480314965" bottom="0.78740157480314965" header="0.31496062992125984" footer="0.31496062992125984"/>
  <pageSetup paperSize="9" scale="57" orientation="portrait" blackAndWhite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80D9171983A04CA2EA61F67DCB4ABF" ma:contentTypeVersion="20" ma:contentTypeDescription="Crie um novo documento." ma:contentTypeScope="" ma:versionID="c4de548fc5cecbfab63c9dc2113383ff">
  <xsd:schema xmlns:xsd="http://www.w3.org/2001/XMLSchema" xmlns:xs="http://www.w3.org/2001/XMLSchema" xmlns:p="http://schemas.microsoft.com/office/2006/metadata/properties" xmlns:ns2="6b86a36e-84d4-4276-b573-04e63d3f0ff0" xmlns:ns3="9b389a20-0147-47fe-a67c-9bb496b9e6c2" targetNamespace="http://schemas.microsoft.com/office/2006/metadata/properties" ma:root="true" ma:fieldsID="be85066c138643668d1010cb74bd85d0" ns2:_="" ns3:_="">
    <xsd:import namespace="6b86a36e-84d4-4276-b573-04e63d3f0ff0"/>
    <xsd:import namespace="9b389a20-0147-47fe-a67c-9bb496b9e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a36e-84d4-4276-b573-04e63d3f0f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d743f79-f374-44db-a6c2-25aed8e3f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89a20-0147-47fe-a67c-9bb496b9e6c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88d6c52-3957-418b-9c59-9d1cf699f65a}" ma:internalName="TaxCatchAll" ma:showField="CatchAllData" ma:web="9b389a20-0147-47fe-a67c-9bb496b9e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389a20-0147-47fe-a67c-9bb496b9e6c2" xsi:nil="true"/>
    <_Flow_SignoffStatus xmlns="6b86a36e-84d4-4276-b573-04e63d3f0ff0" xsi:nil="true"/>
    <lcf76f155ced4ddcb4097134ff3c332f xmlns="6b86a36e-84d4-4276-b573-04e63d3f0f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51E62-D15C-4DB9-8CD1-F8E6C50AA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91150-8BD6-4893-83D2-A517621CC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a36e-84d4-4276-b573-04e63d3f0ff0"/>
    <ds:schemaRef ds:uri="9b389a20-0147-47fe-a67c-9bb496b9e6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20971B-31C4-4CEF-B34A-8318883781C8}">
  <ds:schemaRefs>
    <ds:schemaRef ds:uri="http://schemas.microsoft.com/office/2006/metadata/properties"/>
    <ds:schemaRef ds:uri="http://schemas.microsoft.com/office/infopath/2007/PartnerControls"/>
    <ds:schemaRef ds:uri="9b389a20-0147-47fe-a67c-9bb496b9e6c2"/>
    <ds:schemaRef ds:uri="6b86a36e-84d4-4276-b573-04e63d3f0f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23</vt:i4>
      </vt:variant>
    </vt:vector>
  </HeadingPairs>
  <TitlesOfParts>
    <vt:vector size="49" baseType="lpstr">
      <vt:lpstr>BP</vt:lpstr>
      <vt:lpstr>DSP</vt:lpstr>
      <vt:lpstr>INDICADORES</vt:lpstr>
      <vt:lpstr>A.01</vt:lpstr>
      <vt:lpstr>A.02</vt:lpstr>
      <vt:lpstr>A.03</vt:lpstr>
      <vt:lpstr>A.04</vt:lpstr>
      <vt:lpstr>A.05</vt:lpstr>
      <vt:lpstr>A.06</vt:lpstr>
      <vt:lpstr>A.07</vt:lpstr>
      <vt:lpstr>P.01</vt:lpstr>
      <vt:lpstr>P.02</vt:lpstr>
      <vt:lpstr>P.03</vt:lpstr>
      <vt:lpstr>P.04</vt:lpstr>
      <vt:lpstr>P.05</vt:lpstr>
      <vt:lpstr>P.06</vt:lpstr>
      <vt:lpstr>C.01</vt:lpstr>
      <vt:lpstr>C.02</vt:lpstr>
      <vt:lpstr>C.03</vt:lpstr>
      <vt:lpstr>C.04</vt:lpstr>
      <vt:lpstr>C.05</vt:lpstr>
      <vt:lpstr>C.06</vt:lpstr>
      <vt:lpstr>C.07</vt:lpstr>
      <vt:lpstr>C.08</vt:lpstr>
      <vt:lpstr>C.09</vt:lpstr>
      <vt:lpstr>C.10</vt:lpstr>
      <vt:lpstr>A.01!Area_de_impressao</vt:lpstr>
      <vt:lpstr>A.02!Area_de_impressao</vt:lpstr>
      <vt:lpstr>A.03!Area_de_impressao</vt:lpstr>
      <vt:lpstr>A.04!Area_de_impressao</vt:lpstr>
      <vt:lpstr>A.05!Area_de_impressao</vt:lpstr>
      <vt:lpstr>A.06!Area_de_impressao</vt:lpstr>
      <vt:lpstr>A.07!Area_de_impressao</vt:lpstr>
      <vt:lpstr>BP!Area_de_impressao</vt:lpstr>
      <vt:lpstr>C.01!Area_de_impressao</vt:lpstr>
      <vt:lpstr>C.03!Area_de_impressao</vt:lpstr>
      <vt:lpstr>C.04!Area_de_impressao</vt:lpstr>
      <vt:lpstr>C.05!Area_de_impressao</vt:lpstr>
      <vt:lpstr>C.06!Area_de_impressao</vt:lpstr>
      <vt:lpstr>C.07!Area_de_impressao</vt:lpstr>
      <vt:lpstr>C.08!Area_de_impressao</vt:lpstr>
      <vt:lpstr>C.09!Area_de_impressao</vt:lpstr>
      <vt:lpstr>C.10!Area_de_impressao</vt:lpstr>
      <vt:lpstr>INDICADORES!Area_de_impressao</vt:lpstr>
      <vt:lpstr>P.01!Area_de_impressao</vt:lpstr>
      <vt:lpstr>P.02!Area_de_impressao</vt:lpstr>
      <vt:lpstr>P.03!Area_de_impressao</vt:lpstr>
      <vt:lpstr>P.04!Area_de_impressao</vt:lpstr>
      <vt:lpstr>P.05!Area_de_impressao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PCPWR</dc:creator>
  <cp:keywords/>
  <dc:description/>
  <cp:lastModifiedBy>Celeste121 Salvi</cp:lastModifiedBy>
  <cp:revision/>
  <dcterms:created xsi:type="dcterms:W3CDTF">2024-02-07T19:56:10Z</dcterms:created>
  <dcterms:modified xsi:type="dcterms:W3CDTF">2026-06-15T18:15:45Z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0x010100F080D9171983A04CA2EA61F67DCB4ABF</vt:lpwstr>
  </property>
  <property fmtid="{D5CDD505-2E9C-101B-9397-08002B2CF9AE}" pid="3" name="MediaServiceImageTags">
    <vt:lpwstr/>
  </property>
</Properties>
</file>